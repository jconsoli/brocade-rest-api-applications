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Jack Consoli\Documents\cs\scripts\brocade-rest-api-applications\templates\"/>
    </mc:Choice>
  </mc:AlternateContent>
  <xr:revisionPtr revIDLastSave="0" documentId="13_ncr:1_{7DB3918A-F551-492D-89F2-D2E7544ABC32}" xr6:coauthVersionLast="47" xr6:coauthVersionMax="47" xr10:uidLastSave="{00000000-0000-0000-0000-000000000000}"/>
  <bookViews>
    <workbookView xWindow="1110" yWindow="0" windowWidth="19380" windowHeight="11520" tabRatio="664" xr2:uid="{00000000-000D-0000-FFFF-FFFF00000000}"/>
  </bookViews>
  <sheets>
    <sheet name="Instructions" sheetId="68" r:id="rId1"/>
    <sheet name="Slot_x_Terms" sheetId="69" r:id="rId2"/>
    <sheet name="Chassis" sheetId="54" r:id="rId3"/>
    <sheet name="Switch_x" sheetId="56" r:id="rId4"/>
    <sheet name="Slot 3" sheetId="24" r:id="rId5"/>
    <sheet name="Slot 4" sheetId="37" r:id="rId6"/>
    <sheet name="Slot 5" sheetId="57" r:id="rId7"/>
    <sheet name="Slot 6" sheetId="58" r:id="rId8"/>
    <sheet name="Slot 7" sheetId="40" r:id="rId9"/>
    <sheet name="Slot 8" sheetId="41" r:id="rId10"/>
    <sheet name="FCxx-64" sheetId="60" r:id="rId11"/>
    <sheet name="SX-6" sheetId="61" r:id="rId12"/>
    <sheet name="lists" sheetId="48" state="hidden" r:id="rId13"/>
    <sheet name="VC" sheetId="22" state="hidden" r:id="rId14"/>
  </sheets>
  <calcPr calcId="181029"/>
</workbook>
</file>

<file path=xl/calcChain.xml><?xml version="1.0" encoding="utf-8"?>
<calcChain xmlns="http://schemas.openxmlformats.org/spreadsheetml/2006/main">
  <c r="G27" i="24" l="1"/>
  <c r="C27" i="24"/>
  <c r="B3" i="48"/>
  <c r="B4" i="48" s="1"/>
  <c r="B5" i="48" s="1"/>
  <c r="B6" i="48" s="1"/>
  <c r="B7" i="48" s="1"/>
  <c r="B8" i="48" s="1"/>
  <c r="B9" i="48" s="1"/>
  <c r="B10" i="48" s="1"/>
  <c r="B11" i="48" s="1"/>
  <c r="B12" i="48" s="1"/>
  <c r="B13" i="48" s="1"/>
  <c r="B14" i="48" s="1"/>
  <c r="B15" i="48" s="1"/>
  <c r="B16" i="48" s="1"/>
  <c r="B17" i="48" s="1"/>
  <c r="B18" i="48" s="1"/>
  <c r="B19" i="48" s="1"/>
  <c r="B20" i="48" s="1"/>
  <c r="B21" i="48" s="1"/>
  <c r="B22" i="48" s="1"/>
  <c r="B23" i="48" s="1"/>
  <c r="B24" i="48" s="1"/>
  <c r="B25" i="48" s="1"/>
  <c r="B26" i="48" s="1"/>
  <c r="B27" i="48" s="1"/>
  <c r="B28" i="48" s="1"/>
  <c r="B29" i="48" s="1"/>
  <c r="B30" i="48" s="1"/>
  <c r="B31" i="48" s="1"/>
  <c r="B32" i="48" s="1"/>
  <c r="B33" i="48" s="1"/>
  <c r="B34" i="48" s="1"/>
  <c r="B35" i="48" s="1"/>
  <c r="B36" i="48" s="1"/>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67" i="48" s="1"/>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F37" i="61" l="1"/>
  <c r="G36" i="61"/>
  <c r="G35" i="61" s="1"/>
  <c r="G34" i="61" s="1"/>
  <c r="G33" i="61" s="1"/>
  <c r="G32" i="61" s="1"/>
  <c r="G31" i="61" s="1"/>
  <c r="G30" i="61" s="1"/>
  <c r="G29" i="61" s="1"/>
  <c r="G28" i="61" s="1"/>
  <c r="G27" i="61" s="1"/>
  <c r="G26" i="61" s="1"/>
  <c r="G25" i="61" s="1"/>
  <c r="G24" i="61" s="1"/>
  <c r="G23" i="61" s="1"/>
  <c r="G22" i="61" s="1"/>
  <c r="G21" i="61" s="1"/>
  <c r="E36" i="61"/>
  <c r="E35" i="61" s="1"/>
  <c r="E34" i="61" s="1"/>
  <c r="E33" i="61" s="1"/>
  <c r="E32" i="61" s="1"/>
  <c r="E31" i="61" s="1"/>
  <c r="E30" i="61" s="1"/>
  <c r="E29" i="61" s="1"/>
  <c r="E28" i="61" s="1"/>
  <c r="E27" i="61" s="1"/>
  <c r="E26" i="61" s="1"/>
  <c r="E25" i="61" s="1"/>
  <c r="E24" i="61" s="1"/>
  <c r="E23" i="61" s="1"/>
  <c r="E22" i="61" s="1"/>
  <c r="E21" i="61" s="1"/>
  <c r="E20" i="61" s="1"/>
  <c r="E19" i="61" s="1"/>
  <c r="E18" i="61" s="1"/>
  <c r="E17" i="61" s="1"/>
  <c r="E16" i="61" s="1"/>
  <c r="E15" i="61" s="1"/>
  <c r="E14" i="61" s="1"/>
  <c r="E13" i="61" s="1"/>
  <c r="E12" i="61" s="1"/>
  <c r="E11" i="61" s="1"/>
  <c r="E10" i="61" s="1"/>
  <c r="E9" i="61" s="1"/>
  <c r="E8" i="61" s="1"/>
  <c r="E7" i="61" s="1"/>
  <c r="E6" i="61" s="1"/>
  <c r="E5" i="61" s="1"/>
  <c r="E4" i="61" s="1"/>
  <c r="D36" i="61"/>
  <c r="F36" i="61" s="1"/>
  <c r="C36" i="61"/>
  <c r="C35" i="61" s="1"/>
  <c r="C34" i="61" s="1"/>
  <c r="C33" i="61" s="1"/>
  <c r="C32" i="61" s="1"/>
  <c r="C31" i="61" s="1"/>
  <c r="C30" i="61" s="1"/>
  <c r="C29" i="61" s="1"/>
  <c r="C28" i="61" s="1"/>
  <c r="C27" i="61" s="1"/>
  <c r="C26" i="61" s="1"/>
  <c r="C25" i="61" s="1"/>
  <c r="C24" i="61" s="1"/>
  <c r="C23" i="61" s="1"/>
  <c r="C22" i="61" s="1"/>
  <c r="C21" i="61" s="1"/>
  <c r="C20" i="61" s="1"/>
  <c r="C19" i="61" s="1"/>
  <c r="C18" i="61" s="1"/>
  <c r="C17" i="61" s="1"/>
  <c r="C16" i="61" s="1"/>
  <c r="C15" i="61" s="1"/>
  <c r="C14" i="61" s="1"/>
  <c r="C13" i="61" s="1"/>
  <c r="C12" i="61" s="1"/>
  <c r="C11" i="61" s="1"/>
  <c r="C10" i="61" s="1"/>
  <c r="C9" i="61" s="1"/>
  <c r="C8" i="61" s="1"/>
  <c r="C7" i="61" s="1"/>
  <c r="C6" i="61" s="1"/>
  <c r="C5" i="61" s="1"/>
  <c r="C4" i="61" s="1"/>
  <c r="B36" i="61"/>
  <c r="B35" i="61" s="1"/>
  <c r="B34" i="61" s="1"/>
  <c r="B33" i="61" s="1"/>
  <c r="B32" i="61" s="1"/>
  <c r="B31" i="61" s="1"/>
  <c r="B30" i="61" s="1"/>
  <c r="B29" i="61" s="1"/>
  <c r="B28" i="61" s="1"/>
  <c r="B27" i="61" s="1"/>
  <c r="B26" i="61" s="1"/>
  <c r="B25" i="61" s="1"/>
  <c r="B24" i="61" s="1"/>
  <c r="B23" i="61" s="1"/>
  <c r="B22" i="61" s="1"/>
  <c r="B21" i="61" s="1"/>
  <c r="B20" i="61" s="1"/>
  <c r="B19" i="61" s="1"/>
  <c r="B18" i="61" s="1"/>
  <c r="B17" i="61" s="1"/>
  <c r="B16" i="61" s="1"/>
  <c r="B15" i="61" s="1"/>
  <c r="B14" i="61" s="1"/>
  <c r="G20" i="61"/>
  <c r="G19" i="61" s="1"/>
  <c r="G18" i="61" s="1"/>
  <c r="G17" i="61" s="1"/>
  <c r="G16" i="61" s="1"/>
  <c r="G15" i="61" s="1"/>
  <c r="G14" i="61" s="1"/>
  <c r="G13" i="61" s="1"/>
  <c r="G12" i="61" s="1"/>
  <c r="G11" i="61" s="1"/>
  <c r="G10" i="61" s="1"/>
  <c r="G9" i="61" s="1"/>
  <c r="G8" i="61" s="1"/>
  <c r="G7" i="61" s="1"/>
  <c r="G6" i="61" s="1"/>
  <c r="G5" i="61" s="1"/>
  <c r="G4" i="61" s="1"/>
  <c r="F35" i="60"/>
  <c r="G34" i="60"/>
  <c r="G33" i="60" s="1"/>
  <c r="G32" i="60" s="1"/>
  <c r="G31" i="60" s="1"/>
  <c r="G30" i="60" s="1"/>
  <c r="G29" i="60" s="1"/>
  <c r="G28" i="60" s="1"/>
  <c r="G27" i="60" s="1"/>
  <c r="G26" i="60" s="1"/>
  <c r="G25" i="60" s="1"/>
  <c r="G24" i="60" s="1"/>
  <c r="G23" i="60" s="1"/>
  <c r="G22" i="60" s="1"/>
  <c r="G21" i="60" s="1"/>
  <c r="G20" i="60" s="1"/>
  <c r="G19" i="60" s="1"/>
  <c r="G18" i="60" s="1"/>
  <c r="G17" i="60" s="1"/>
  <c r="G16" i="60" s="1"/>
  <c r="G15" i="60" s="1"/>
  <c r="G14" i="60" s="1"/>
  <c r="G13" i="60" s="1"/>
  <c r="G12" i="60" s="1"/>
  <c r="G11" i="60" s="1"/>
  <c r="G10" i="60" s="1"/>
  <c r="G9" i="60" s="1"/>
  <c r="G8" i="60" s="1"/>
  <c r="G7" i="60" s="1"/>
  <c r="G6" i="60" s="1"/>
  <c r="G5" i="60" s="1"/>
  <c r="G4" i="60" s="1"/>
  <c r="V35" i="60" s="1"/>
  <c r="V34" i="60" s="1"/>
  <c r="V33" i="60" s="1"/>
  <c r="V32" i="60" s="1"/>
  <c r="V31" i="60" s="1"/>
  <c r="V30" i="60" s="1"/>
  <c r="V29" i="60" s="1"/>
  <c r="V28" i="60" s="1"/>
  <c r="V27" i="60" s="1"/>
  <c r="V26" i="60" s="1"/>
  <c r="V25" i="60" s="1"/>
  <c r="V24" i="60" s="1"/>
  <c r="V23" i="60" s="1"/>
  <c r="V22" i="60" s="1"/>
  <c r="V21" i="60" s="1"/>
  <c r="V20" i="60" s="1"/>
  <c r="V19" i="60" s="1"/>
  <c r="V18" i="60" s="1"/>
  <c r="V17" i="60" s="1"/>
  <c r="V16" i="60" s="1"/>
  <c r="V15" i="60" s="1"/>
  <c r="V14" i="60" s="1"/>
  <c r="V13" i="60" s="1"/>
  <c r="V12" i="60" s="1"/>
  <c r="V11" i="60" s="1"/>
  <c r="V10" i="60" s="1"/>
  <c r="V9" i="60" s="1"/>
  <c r="V8" i="60" s="1"/>
  <c r="V7" i="60" s="1"/>
  <c r="V6" i="60" s="1"/>
  <c r="V5" i="60" s="1"/>
  <c r="V4" i="60" s="1"/>
  <c r="E34" i="60"/>
  <c r="E33" i="60" s="1"/>
  <c r="E32" i="60" s="1"/>
  <c r="E31" i="60" s="1"/>
  <c r="E30" i="60" s="1"/>
  <c r="E29" i="60" s="1"/>
  <c r="E28" i="60" s="1"/>
  <c r="E27" i="60" s="1"/>
  <c r="E26" i="60" s="1"/>
  <c r="E25" i="60" s="1"/>
  <c r="E24" i="60" s="1"/>
  <c r="E23" i="60" s="1"/>
  <c r="E22" i="60" s="1"/>
  <c r="E21" i="60" s="1"/>
  <c r="E20" i="60" s="1"/>
  <c r="E19" i="60" s="1"/>
  <c r="E18" i="60" s="1"/>
  <c r="E17" i="60" s="1"/>
  <c r="E16" i="60" s="1"/>
  <c r="E15" i="60" s="1"/>
  <c r="E14" i="60" s="1"/>
  <c r="E13" i="60" s="1"/>
  <c r="E12" i="60" s="1"/>
  <c r="E11" i="60" s="1"/>
  <c r="E10" i="60" s="1"/>
  <c r="E9" i="60" s="1"/>
  <c r="E8" i="60" s="1"/>
  <c r="E7" i="60" s="1"/>
  <c r="E6" i="60" s="1"/>
  <c r="E5" i="60" s="1"/>
  <c r="E4" i="60" s="1"/>
  <c r="T35" i="60" s="1"/>
  <c r="T34" i="60" s="1"/>
  <c r="T33" i="60" s="1"/>
  <c r="T32" i="60" s="1"/>
  <c r="T31" i="60" s="1"/>
  <c r="T30" i="60" s="1"/>
  <c r="T29" i="60" s="1"/>
  <c r="T28" i="60" s="1"/>
  <c r="T27" i="60" s="1"/>
  <c r="T26" i="60" s="1"/>
  <c r="T25" i="60" s="1"/>
  <c r="T24" i="60" s="1"/>
  <c r="T23" i="60" s="1"/>
  <c r="T22" i="60" s="1"/>
  <c r="T21" i="60" s="1"/>
  <c r="T20" i="60" s="1"/>
  <c r="T19" i="60" s="1"/>
  <c r="T18" i="60" s="1"/>
  <c r="T17" i="60" s="1"/>
  <c r="T16" i="60" s="1"/>
  <c r="T15" i="60" s="1"/>
  <c r="T14" i="60" s="1"/>
  <c r="T13" i="60" s="1"/>
  <c r="T12" i="60" s="1"/>
  <c r="T11" i="60" s="1"/>
  <c r="T10" i="60" s="1"/>
  <c r="T9" i="60" s="1"/>
  <c r="T8" i="60" s="1"/>
  <c r="T7" i="60" s="1"/>
  <c r="T6" i="60" s="1"/>
  <c r="T5" i="60" s="1"/>
  <c r="T4" i="60" s="1"/>
  <c r="D34" i="60"/>
  <c r="F34" i="60" s="1"/>
  <c r="C34" i="60"/>
  <c r="C33" i="60" s="1"/>
  <c r="C32" i="60" s="1"/>
  <c r="C31" i="60" s="1"/>
  <c r="C30" i="60" s="1"/>
  <c r="C29" i="60" s="1"/>
  <c r="C28" i="60" s="1"/>
  <c r="C27" i="60" s="1"/>
  <c r="C26" i="60" s="1"/>
  <c r="C25" i="60" s="1"/>
  <c r="C24" i="60" s="1"/>
  <c r="C23" i="60" s="1"/>
  <c r="C22" i="60" s="1"/>
  <c r="C21" i="60" s="1"/>
  <c r="C20" i="60" s="1"/>
  <c r="C19" i="60" s="1"/>
  <c r="C18" i="60" s="1"/>
  <c r="C17" i="60" s="1"/>
  <c r="C16" i="60" s="1"/>
  <c r="C15" i="60" s="1"/>
  <c r="C14" i="60" s="1"/>
  <c r="C13" i="60" s="1"/>
  <c r="C12" i="60" s="1"/>
  <c r="C11" i="60" s="1"/>
  <c r="C10" i="60" s="1"/>
  <c r="C9" i="60" s="1"/>
  <c r="C8" i="60" s="1"/>
  <c r="C7" i="60" s="1"/>
  <c r="C6" i="60" s="1"/>
  <c r="C5" i="60" s="1"/>
  <c r="C4" i="60" s="1"/>
  <c r="R35" i="60" s="1"/>
  <c r="R34" i="60" s="1"/>
  <c r="R33" i="60" s="1"/>
  <c r="R32" i="60" s="1"/>
  <c r="R31" i="60" s="1"/>
  <c r="R30" i="60" s="1"/>
  <c r="R29" i="60" s="1"/>
  <c r="R28" i="60" s="1"/>
  <c r="R27" i="60" s="1"/>
  <c r="R26" i="60" s="1"/>
  <c r="R25" i="60" s="1"/>
  <c r="R24" i="60" s="1"/>
  <c r="R23" i="60" s="1"/>
  <c r="R22" i="60" s="1"/>
  <c r="R21" i="60" s="1"/>
  <c r="R20" i="60" s="1"/>
  <c r="R19" i="60" s="1"/>
  <c r="R18" i="60" s="1"/>
  <c r="R17" i="60" s="1"/>
  <c r="R16" i="60" s="1"/>
  <c r="R15" i="60" s="1"/>
  <c r="R14" i="60" s="1"/>
  <c r="R13" i="60" s="1"/>
  <c r="R12" i="60" s="1"/>
  <c r="R11" i="60" s="1"/>
  <c r="R10" i="60" s="1"/>
  <c r="R9" i="60" s="1"/>
  <c r="R8" i="60" s="1"/>
  <c r="R7" i="60" s="1"/>
  <c r="R6" i="60" s="1"/>
  <c r="R5" i="60" s="1"/>
  <c r="R4" i="60" s="1"/>
  <c r="B34" i="60"/>
  <c r="B33" i="60" s="1"/>
  <c r="B32" i="60" s="1"/>
  <c r="B31" i="60" s="1"/>
  <c r="B30" i="60" s="1"/>
  <c r="B29" i="60" s="1"/>
  <c r="B28" i="60" s="1"/>
  <c r="B27" i="60" s="1"/>
  <c r="B26" i="60" s="1"/>
  <c r="B25" i="60" s="1"/>
  <c r="B24" i="60" s="1"/>
  <c r="B23" i="60" s="1"/>
  <c r="B22" i="60" s="1"/>
  <c r="B21" i="60" s="1"/>
  <c r="B20" i="60" s="1"/>
  <c r="B19" i="60" s="1"/>
  <c r="B18" i="60" s="1"/>
  <c r="B17" i="60" s="1"/>
  <c r="B16" i="60" s="1"/>
  <c r="B15" i="60" s="1"/>
  <c r="B14" i="60" s="1"/>
  <c r="B13" i="60" s="1"/>
  <c r="B12" i="60" s="1"/>
  <c r="B11" i="60" s="1"/>
  <c r="B10" i="60" s="1"/>
  <c r="B9" i="60" s="1"/>
  <c r="B8" i="60" s="1"/>
  <c r="B7" i="60" s="1"/>
  <c r="B6" i="60" s="1"/>
  <c r="B5" i="60" s="1"/>
  <c r="B4" i="60" s="1"/>
  <c r="Q35" i="60" s="1"/>
  <c r="Q34" i="60" s="1"/>
  <c r="Q33" i="60" s="1"/>
  <c r="Q32" i="60" s="1"/>
  <c r="Q31" i="60" s="1"/>
  <c r="Q30" i="60" s="1"/>
  <c r="Q29" i="60" s="1"/>
  <c r="Q28" i="60" s="1"/>
  <c r="Q27" i="60" s="1"/>
  <c r="Q26" i="60" s="1"/>
  <c r="Q25" i="60" s="1"/>
  <c r="Q24" i="60" s="1"/>
  <c r="Q23" i="60" s="1"/>
  <c r="Q22" i="60" s="1"/>
  <c r="Q21" i="60" s="1"/>
  <c r="Q20" i="60" s="1"/>
  <c r="Q19" i="60" s="1"/>
  <c r="Q18" i="60" s="1"/>
  <c r="Q17" i="60" s="1"/>
  <c r="Q16" i="60" s="1"/>
  <c r="Q15" i="60" s="1"/>
  <c r="Q14" i="60" s="1"/>
  <c r="Q13" i="60" s="1"/>
  <c r="Q12" i="60" s="1"/>
  <c r="Q11" i="60" s="1"/>
  <c r="Q10" i="60" s="1"/>
  <c r="Q9" i="60" s="1"/>
  <c r="Q8" i="60" s="1"/>
  <c r="Q7" i="60" s="1"/>
  <c r="Q6" i="60" s="1"/>
  <c r="Q5" i="60" s="1"/>
  <c r="Q4" i="60" s="1"/>
  <c r="D35" i="61" l="1"/>
  <c r="D34" i="61" s="1"/>
  <c r="D33" i="60"/>
  <c r="D32" i="60" s="1"/>
  <c r="B18" i="58"/>
  <c r="B17" i="58" s="1"/>
  <c r="B16" i="58" s="1"/>
  <c r="B15" i="58" s="1"/>
  <c r="B14" i="58" s="1"/>
  <c r="B13" i="58" s="1"/>
  <c r="B12" i="58" s="1"/>
  <c r="B11" i="58" s="1"/>
  <c r="B10" i="58" s="1"/>
  <c r="B9" i="58" s="1"/>
  <c r="B8" i="58" s="1"/>
  <c r="B7" i="58" s="1"/>
  <c r="B6" i="58" s="1"/>
  <c r="B5" i="58" s="1"/>
  <c r="B4" i="58" s="1"/>
  <c r="K19" i="58" s="1"/>
  <c r="K18" i="58" s="1"/>
  <c r="K17" i="58" s="1"/>
  <c r="K16" i="58" s="1"/>
  <c r="K15" i="58" s="1"/>
  <c r="K14" i="58" s="1"/>
  <c r="K13" i="58" s="1"/>
  <c r="K12" i="58" s="1"/>
  <c r="K11" i="58" s="1"/>
  <c r="K10" i="58" s="1"/>
  <c r="K9" i="58" s="1"/>
  <c r="K8" i="58" s="1"/>
  <c r="K7" i="58" s="1"/>
  <c r="K6" i="58" s="1"/>
  <c r="K5" i="58" s="1"/>
  <c r="K4" i="58" s="1"/>
  <c r="C18" i="57"/>
  <c r="C17" i="57" s="1"/>
  <c r="C16" i="57" s="1"/>
  <c r="C15" i="57" s="1"/>
  <c r="C14" i="57" s="1"/>
  <c r="C13" i="57" s="1"/>
  <c r="C12" i="57" s="1"/>
  <c r="C11" i="57" s="1"/>
  <c r="C10" i="57" s="1"/>
  <c r="C9" i="57" s="1"/>
  <c r="C8" i="57" s="1"/>
  <c r="C7" i="57" s="1"/>
  <c r="C6" i="57" s="1"/>
  <c r="C5" i="57" s="1"/>
  <c r="C4" i="57" s="1"/>
  <c r="B18" i="57"/>
  <c r="B17" i="57" s="1"/>
  <c r="B16" i="57" s="1"/>
  <c r="B15" i="57" s="1"/>
  <c r="B14" i="57" s="1"/>
  <c r="B13" i="57" s="1"/>
  <c r="B12" i="57" s="1"/>
  <c r="B11" i="57" s="1"/>
  <c r="B10" i="57" s="1"/>
  <c r="B9" i="57" s="1"/>
  <c r="B8" i="57" s="1"/>
  <c r="B7" i="57" s="1"/>
  <c r="B6" i="57" s="1"/>
  <c r="B5" i="57" s="1"/>
  <c r="B4" i="57" s="1"/>
  <c r="K19" i="57" s="1"/>
  <c r="K18" i="57" s="1"/>
  <c r="K17" i="57" s="1"/>
  <c r="K16" i="57" s="1"/>
  <c r="K15" i="57" s="1"/>
  <c r="K14" i="57" s="1"/>
  <c r="K13" i="57" s="1"/>
  <c r="K12" i="57" s="1"/>
  <c r="K11" i="57" s="1"/>
  <c r="K10" i="57" s="1"/>
  <c r="K9" i="57" s="1"/>
  <c r="K8" i="57" s="1"/>
  <c r="K7" i="57" s="1"/>
  <c r="K6" i="57" s="1"/>
  <c r="K5" i="57" s="1"/>
  <c r="K4" i="57" s="1"/>
  <c r="F35" i="61" l="1"/>
  <c r="F33" i="60"/>
  <c r="F32" i="60"/>
  <c r="D31" i="60"/>
  <c r="F34" i="61"/>
  <c r="D33" i="61"/>
  <c r="L19" i="57"/>
  <c r="L18" i="57" s="1"/>
  <c r="L17" i="57" s="1"/>
  <c r="L16" i="57" s="1"/>
  <c r="L15" i="57" s="1"/>
  <c r="L14" i="57" s="1"/>
  <c r="L13" i="57" s="1"/>
  <c r="L12" i="57" s="1"/>
  <c r="L11" i="57" s="1"/>
  <c r="L10" i="57" s="1"/>
  <c r="L9" i="57" s="1"/>
  <c r="L8" i="57" s="1"/>
  <c r="L7" i="57" s="1"/>
  <c r="L6" i="57" s="1"/>
  <c r="L5" i="57" s="1"/>
  <c r="L4" i="57" s="1"/>
  <c r="C19" i="58" s="1"/>
  <c r="C18" i="58" s="1"/>
  <c r="C17" i="58" s="1"/>
  <c r="C16" i="58" s="1"/>
  <c r="C15" i="58" s="1"/>
  <c r="C14" i="58" s="1"/>
  <c r="C13" i="58" s="1"/>
  <c r="C12" i="58" s="1"/>
  <c r="C11" i="58" s="1"/>
  <c r="C10" i="58" s="1"/>
  <c r="C9" i="58" s="1"/>
  <c r="C8" i="58" s="1"/>
  <c r="C7" i="58" s="1"/>
  <c r="C6" i="58" s="1"/>
  <c r="C5" i="58" s="1"/>
  <c r="C4" i="58" s="1"/>
  <c r="L19" i="58" s="1"/>
  <c r="L18" i="58" s="1"/>
  <c r="L17" i="58" s="1"/>
  <c r="L16" i="58" s="1"/>
  <c r="L15" i="58" s="1"/>
  <c r="L14" i="58" s="1"/>
  <c r="L13" i="58" s="1"/>
  <c r="L12" i="58" s="1"/>
  <c r="L11" i="58" s="1"/>
  <c r="L10" i="58" s="1"/>
  <c r="L9" i="58" s="1"/>
  <c r="L8" i="58" s="1"/>
  <c r="L7" i="58" s="1"/>
  <c r="L6" i="58" s="1"/>
  <c r="L5" i="58" s="1"/>
  <c r="L4" i="58" s="1"/>
  <c r="E26" i="41"/>
  <c r="E25" i="41" s="1"/>
  <c r="E24" i="41" s="1"/>
  <c r="E23" i="41" s="1"/>
  <c r="E22" i="41" s="1"/>
  <c r="E21" i="41" s="1"/>
  <c r="E20" i="41" s="1"/>
  <c r="E19" i="41" s="1"/>
  <c r="E18" i="41" s="1"/>
  <c r="E17" i="41" s="1"/>
  <c r="E16" i="41" s="1"/>
  <c r="E15" i="41" s="1"/>
  <c r="E14" i="41" s="1"/>
  <c r="E13" i="41" s="1"/>
  <c r="E12" i="41" s="1"/>
  <c r="E11" i="41" s="1"/>
  <c r="E10" i="41" s="1"/>
  <c r="E9" i="41" s="1"/>
  <c r="E8" i="41" s="1"/>
  <c r="E7" i="41" s="1"/>
  <c r="E6" i="41" s="1"/>
  <c r="E5" i="41" s="1"/>
  <c r="E4" i="41" s="1"/>
  <c r="E26" i="40"/>
  <c r="E25" i="40" s="1"/>
  <c r="E24" i="40" s="1"/>
  <c r="E23" i="40" s="1"/>
  <c r="E22" i="40" s="1"/>
  <c r="E21" i="40" s="1"/>
  <c r="E20" i="40" s="1"/>
  <c r="E19" i="40" s="1"/>
  <c r="E18" i="40" s="1"/>
  <c r="E17" i="40" s="1"/>
  <c r="E16" i="40" s="1"/>
  <c r="E15" i="40" s="1"/>
  <c r="E14" i="40" s="1"/>
  <c r="E13" i="40" s="1"/>
  <c r="E12" i="40" s="1"/>
  <c r="E11" i="40" s="1"/>
  <c r="E10" i="40" s="1"/>
  <c r="E9" i="40" s="1"/>
  <c r="E8" i="40" s="1"/>
  <c r="E7" i="40" s="1"/>
  <c r="E6" i="40" s="1"/>
  <c r="E5" i="40" s="1"/>
  <c r="E4" i="40" s="1"/>
  <c r="T27" i="40" s="1"/>
  <c r="T26" i="40" s="1"/>
  <c r="T25" i="40" s="1"/>
  <c r="T24" i="40" s="1"/>
  <c r="T23" i="40" s="1"/>
  <c r="T22" i="40" s="1"/>
  <c r="T21" i="40" s="1"/>
  <c r="T20" i="40" s="1"/>
  <c r="T19" i="40" s="1"/>
  <c r="T18" i="40" s="1"/>
  <c r="T17" i="40" s="1"/>
  <c r="T16" i="40" s="1"/>
  <c r="T15" i="40" s="1"/>
  <c r="T14" i="40" s="1"/>
  <c r="T13" i="40" s="1"/>
  <c r="T12" i="40" s="1"/>
  <c r="T11" i="40" s="1"/>
  <c r="T10" i="40" s="1"/>
  <c r="T9" i="40" s="1"/>
  <c r="T8" i="40" s="1"/>
  <c r="T7" i="40" s="1"/>
  <c r="T6" i="40" s="1"/>
  <c r="T5" i="40" s="1"/>
  <c r="T4" i="40" s="1"/>
  <c r="E26" i="37"/>
  <c r="E25" i="37" s="1"/>
  <c r="E24" i="37" s="1"/>
  <c r="E23" i="37" s="1"/>
  <c r="E22" i="37" s="1"/>
  <c r="E21" i="37" s="1"/>
  <c r="E20" i="37" s="1"/>
  <c r="E19" i="37" s="1"/>
  <c r="E18" i="37" s="1"/>
  <c r="E17" i="37" s="1"/>
  <c r="E16" i="37" s="1"/>
  <c r="E15" i="37" s="1"/>
  <c r="E14" i="37" s="1"/>
  <c r="E13" i="37" s="1"/>
  <c r="E12" i="37" s="1"/>
  <c r="E11" i="37" s="1"/>
  <c r="E10" i="37" s="1"/>
  <c r="E9" i="37" s="1"/>
  <c r="E8" i="37" s="1"/>
  <c r="E7" i="37" s="1"/>
  <c r="E6" i="37" s="1"/>
  <c r="E5" i="37" s="1"/>
  <c r="E4" i="37" s="1"/>
  <c r="T27" i="37" s="1"/>
  <c r="T26" i="37" s="1"/>
  <c r="T25" i="37" s="1"/>
  <c r="T24" i="37" s="1"/>
  <c r="T23" i="37" s="1"/>
  <c r="T22" i="37" s="1"/>
  <c r="T21" i="37" s="1"/>
  <c r="T20" i="37" s="1"/>
  <c r="T19" i="37" s="1"/>
  <c r="T18" i="37" s="1"/>
  <c r="T17" i="37" s="1"/>
  <c r="T16" i="37" s="1"/>
  <c r="T15" i="37" s="1"/>
  <c r="T14" i="37" s="1"/>
  <c r="T13" i="37" s="1"/>
  <c r="T12" i="37" s="1"/>
  <c r="T11" i="37" s="1"/>
  <c r="T10" i="37" s="1"/>
  <c r="T9" i="37" s="1"/>
  <c r="T8" i="37" s="1"/>
  <c r="T7" i="37" s="1"/>
  <c r="T6" i="37" s="1"/>
  <c r="T5" i="37" s="1"/>
  <c r="T4" i="37" s="1"/>
  <c r="E26" i="24"/>
  <c r="E25" i="24" s="1"/>
  <c r="E24" i="24" s="1"/>
  <c r="E23" i="24" s="1"/>
  <c r="E22" i="24" s="1"/>
  <c r="E21" i="24" s="1"/>
  <c r="E20" i="24" s="1"/>
  <c r="E19" i="24" s="1"/>
  <c r="E18" i="24" s="1"/>
  <c r="E17" i="24" s="1"/>
  <c r="E16" i="24" s="1"/>
  <c r="E15" i="24" s="1"/>
  <c r="E14" i="24" s="1"/>
  <c r="E13" i="24" s="1"/>
  <c r="E12" i="24" s="1"/>
  <c r="E11" i="24" s="1"/>
  <c r="E10" i="24" s="1"/>
  <c r="E9" i="24" s="1"/>
  <c r="E8" i="24" s="1"/>
  <c r="E7" i="24" s="1"/>
  <c r="E6" i="24" s="1"/>
  <c r="E5" i="24" s="1"/>
  <c r="E4" i="24" s="1"/>
  <c r="T27" i="24" s="1"/>
  <c r="T26" i="24" s="1"/>
  <c r="T25" i="24" s="1"/>
  <c r="T24" i="24" s="1"/>
  <c r="T23" i="24" s="1"/>
  <c r="T22" i="24" s="1"/>
  <c r="T21" i="24" s="1"/>
  <c r="T20" i="24" s="1"/>
  <c r="T19" i="24" s="1"/>
  <c r="T18" i="24" s="1"/>
  <c r="T17" i="24" s="1"/>
  <c r="T16" i="24" s="1"/>
  <c r="T15" i="24" s="1"/>
  <c r="T14" i="24" s="1"/>
  <c r="T13" i="24" s="1"/>
  <c r="T12" i="24" s="1"/>
  <c r="T11" i="24" s="1"/>
  <c r="T10" i="24" s="1"/>
  <c r="T9" i="24" s="1"/>
  <c r="T8" i="24" s="1"/>
  <c r="T7" i="24" s="1"/>
  <c r="T6" i="24" s="1"/>
  <c r="T5" i="24" s="1"/>
  <c r="T4" i="24" s="1"/>
  <c r="F31" i="60" l="1"/>
  <c r="D30" i="60"/>
  <c r="F33" i="61"/>
  <c r="D32" i="61"/>
  <c r="T27" i="41"/>
  <c r="T26" i="41" s="1"/>
  <c r="T25" i="41" s="1"/>
  <c r="T24" i="41" s="1"/>
  <c r="T23" i="41" s="1"/>
  <c r="T22" i="41" s="1"/>
  <c r="T21" i="41" s="1"/>
  <c r="T20" i="41" s="1"/>
  <c r="T19" i="41" s="1"/>
  <c r="T18" i="41" s="1"/>
  <c r="T17" i="41" s="1"/>
  <c r="T16" i="41" s="1"/>
  <c r="T15" i="41" s="1"/>
  <c r="T14" i="41" s="1"/>
  <c r="T13" i="41" s="1"/>
  <c r="T12" i="41" s="1"/>
  <c r="T11" i="41" s="1"/>
  <c r="T10" i="41" s="1"/>
  <c r="T9" i="41" s="1"/>
  <c r="T8" i="41" s="1"/>
  <c r="T7" i="41" s="1"/>
  <c r="T6" i="41" s="1"/>
  <c r="T5" i="41" s="1"/>
  <c r="T4" i="41" s="1"/>
  <c r="F32" i="61" l="1"/>
  <c r="D31" i="61"/>
  <c r="D29" i="60"/>
  <c r="F30" i="60"/>
  <c r="B26" i="41"/>
  <c r="B25" i="41" s="1"/>
  <c r="B24" i="41" s="1"/>
  <c r="B23" i="41" s="1"/>
  <c r="B22" i="41" s="1"/>
  <c r="B21" i="41" s="1"/>
  <c r="B26" i="40"/>
  <c r="B26" i="37"/>
  <c r="B25" i="37" s="1"/>
  <c r="B24" i="37" s="1"/>
  <c r="B23" i="37" s="1"/>
  <c r="B22" i="37" s="1"/>
  <c r="B21" i="37" s="1"/>
  <c r="B20" i="37" s="1"/>
  <c r="B19" i="37" s="1"/>
  <c r="B18" i="37" s="1"/>
  <c r="B17" i="37" s="1"/>
  <c r="B16" i="37" s="1"/>
  <c r="B15" i="37" s="1"/>
  <c r="B14" i="37" s="1"/>
  <c r="B13" i="37" s="1"/>
  <c r="B12" i="37" s="1"/>
  <c r="B11" i="37" s="1"/>
  <c r="B10" i="37" s="1"/>
  <c r="B9" i="37" s="1"/>
  <c r="B8" i="37" s="1"/>
  <c r="B7" i="37" s="1"/>
  <c r="B6" i="37" s="1"/>
  <c r="B5" i="37" s="1"/>
  <c r="B4" i="37" s="1"/>
  <c r="Q27" i="37" s="1"/>
  <c r="Q26" i="37" s="1"/>
  <c r="Q25" i="37" s="1"/>
  <c r="Q24" i="37" s="1"/>
  <c r="Q23" i="37" s="1"/>
  <c r="Q22" i="37" s="1"/>
  <c r="Q21" i="37" s="1"/>
  <c r="Q20" i="37" s="1"/>
  <c r="Q19" i="37" s="1"/>
  <c r="Q18" i="37" s="1"/>
  <c r="Q17" i="37" s="1"/>
  <c r="Q16" i="37" s="1"/>
  <c r="Q15" i="37" s="1"/>
  <c r="Q14" i="37" s="1"/>
  <c r="Q13" i="37" s="1"/>
  <c r="Q12" i="37" s="1"/>
  <c r="Q11" i="37" s="1"/>
  <c r="Q10" i="37" s="1"/>
  <c r="Q9" i="37" s="1"/>
  <c r="Q8" i="37" s="1"/>
  <c r="Q7" i="37" s="1"/>
  <c r="Q6" i="37" s="1"/>
  <c r="Q5" i="37" s="1"/>
  <c r="Q4" i="37" s="1"/>
  <c r="D30" i="61" l="1"/>
  <c r="F31" i="61"/>
  <c r="D28" i="60"/>
  <c r="F29" i="60"/>
  <c r="B25" i="40"/>
  <c r="B20" i="41"/>
  <c r="D29" i="61" l="1"/>
  <c r="F30" i="61"/>
  <c r="D27" i="60"/>
  <c r="F28" i="60"/>
  <c r="B19" i="41"/>
  <c r="B24" i="40"/>
  <c r="F27" i="24"/>
  <c r="G26" i="24"/>
  <c r="D26" i="24"/>
  <c r="C26" i="24"/>
  <c r="C25" i="24" s="1"/>
  <c r="B26" i="24"/>
  <c r="B25" i="24" s="1"/>
  <c r="F27" i="60" l="1"/>
  <c r="D26" i="60"/>
  <c r="D28" i="61"/>
  <c r="F29" i="61"/>
  <c r="B23" i="40"/>
  <c r="B18" i="41"/>
  <c r="N27" i="24"/>
  <c r="M27" i="24"/>
  <c r="O27" i="24"/>
  <c r="B24" i="24"/>
  <c r="G25" i="24"/>
  <c r="F26" i="24"/>
  <c r="D25" i="24"/>
  <c r="D24" i="24" s="1"/>
  <c r="D23" i="24" s="1"/>
  <c r="D22" i="24" s="1"/>
  <c r="D21" i="24" s="1"/>
  <c r="D20" i="24" s="1"/>
  <c r="D19" i="24" s="1"/>
  <c r="C24" i="24"/>
  <c r="F26" i="60" l="1"/>
  <c r="D25" i="60"/>
  <c r="F28" i="61"/>
  <c r="D27" i="61"/>
  <c r="B17" i="41"/>
  <c r="B22" i="40"/>
  <c r="N26" i="24"/>
  <c r="O26" i="24"/>
  <c r="M26" i="24"/>
  <c r="G24" i="24"/>
  <c r="B23" i="24"/>
  <c r="F25" i="24"/>
  <c r="D18" i="24"/>
  <c r="C23" i="24"/>
  <c r="F24" i="24"/>
  <c r="D24" i="60" l="1"/>
  <c r="F25" i="60"/>
  <c r="F27" i="61"/>
  <c r="D26" i="61"/>
  <c r="B16" i="41"/>
  <c r="B21" i="40"/>
  <c r="N25" i="24"/>
  <c r="O25" i="24"/>
  <c r="M25" i="24"/>
  <c r="N24" i="24"/>
  <c r="O24" i="24"/>
  <c r="M24" i="24"/>
  <c r="G23" i="24"/>
  <c r="B22" i="24"/>
  <c r="C22" i="24"/>
  <c r="F23" i="24"/>
  <c r="D17" i="24"/>
  <c r="F26" i="61" l="1"/>
  <c r="D25" i="61"/>
  <c r="F24" i="60"/>
  <c r="D23" i="60"/>
  <c r="B20" i="40"/>
  <c r="B15" i="41"/>
  <c r="N23" i="24"/>
  <c r="M23" i="24"/>
  <c r="O23" i="24"/>
  <c r="B21" i="24"/>
  <c r="G22" i="24"/>
  <c r="D16" i="24"/>
  <c r="C21" i="24"/>
  <c r="F22" i="24"/>
  <c r="F23" i="60" l="1"/>
  <c r="D22" i="60"/>
  <c r="F25" i="61"/>
  <c r="D24" i="61"/>
  <c r="B14" i="41"/>
  <c r="B19" i="40"/>
  <c r="N22" i="24"/>
  <c r="M22" i="24"/>
  <c r="O22" i="24"/>
  <c r="G21" i="24"/>
  <c r="B20" i="24"/>
  <c r="D15" i="24"/>
  <c r="C20" i="24"/>
  <c r="F21" i="24"/>
  <c r="F24" i="61" l="1"/>
  <c r="D23" i="61"/>
  <c r="D21" i="60"/>
  <c r="F22" i="60"/>
  <c r="B18" i="40"/>
  <c r="B13" i="41"/>
  <c r="N21" i="24"/>
  <c r="O21" i="24"/>
  <c r="M21" i="24"/>
  <c r="B19" i="24"/>
  <c r="G20" i="24"/>
  <c r="C19" i="24"/>
  <c r="F20" i="24"/>
  <c r="D14" i="24"/>
  <c r="D20" i="60" l="1"/>
  <c r="F21" i="60"/>
  <c r="D22" i="61"/>
  <c r="F23" i="61"/>
  <c r="B12" i="41"/>
  <c r="B17" i="40"/>
  <c r="N20" i="24"/>
  <c r="O20" i="24"/>
  <c r="M20" i="24"/>
  <c r="G19" i="24"/>
  <c r="B18" i="24"/>
  <c r="C18" i="24"/>
  <c r="F19" i="24"/>
  <c r="M19" i="24" s="1"/>
  <c r="D13" i="24"/>
  <c r="D12" i="24" s="1"/>
  <c r="D21" i="61" l="1"/>
  <c r="F22" i="61"/>
  <c r="F20" i="60"/>
  <c r="D19" i="60"/>
  <c r="B16" i="40"/>
  <c r="B11" i="41"/>
  <c r="D11" i="24"/>
  <c r="N19" i="24"/>
  <c r="O19" i="24"/>
  <c r="B17" i="24"/>
  <c r="G18" i="24"/>
  <c r="C17" i="24"/>
  <c r="F18" i="24"/>
  <c r="F19" i="60" l="1"/>
  <c r="D18" i="60"/>
  <c r="D20" i="61"/>
  <c r="F21" i="61"/>
  <c r="D10" i="24"/>
  <c r="B10" i="41"/>
  <c r="B15" i="40"/>
  <c r="N18" i="24"/>
  <c r="M18" i="24"/>
  <c r="O18" i="24"/>
  <c r="G17" i="24"/>
  <c r="B16" i="24"/>
  <c r="C16" i="24"/>
  <c r="F17" i="24"/>
  <c r="M17" i="24" s="1"/>
  <c r="F20" i="61" l="1"/>
  <c r="D19" i="61"/>
  <c r="D17" i="60"/>
  <c r="F18" i="60"/>
  <c r="B9" i="41"/>
  <c r="B14" i="40"/>
  <c r="D9" i="24"/>
  <c r="N17" i="24"/>
  <c r="O17" i="24"/>
  <c r="B15" i="24"/>
  <c r="G16" i="24"/>
  <c r="C15" i="24"/>
  <c r="F16" i="24"/>
  <c r="F19" i="61" l="1"/>
  <c r="D18" i="61"/>
  <c r="D16" i="60"/>
  <c r="F17" i="60"/>
  <c r="B13" i="40"/>
  <c r="B8" i="41"/>
  <c r="D8" i="24"/>
  <c r="N16" i="24"/>
  <c r="O16" i="24"/>
  <c r="M16" i="24"/>
  <c r="G15" i="24"/>
  <c r="B14" i="24"/>
  <c r="C14" i="24"/>
  <c r="F15" i="24"/>
  <c r="F18" i="61" l="1"/>
  <c r="D17" i="61"/>
  <c r="D15" i="60"/>
  <c r="F16" i="60"/>
  <c r="B7" i="41"/>
  <c r="D7" i="24"/>
  <c r="B12" i="40"/>
  <c r="N15" i="24"/>
  <c r="O15" i="24"/>
  <c r="M15" i="24"/>
  <c r="B13" i="24"/>
  <c r="G14" i="24"/>
  <c r="C13" i="24"/>
  <c r="C12" i="24" s="1"/>
  <c r="F14" i="24"/>
  <c r="F17" i="61" l="1"/>
  <c r="D16" i="61"/>
  <c r="F15" i="60"/>
  <c r="D14" i="60"/>
  <c r="D6" i="24"/>
  <c r="B12" i="24"/>
  <c r="C11" i="24"/>
  <c r="F12" i="24"/>
  <c r="B11" i="40"/>
  <c r="B6" i="41"/>
  <c r="N14" i="24"/>
  <c r="O14" i="24"/>
  <c r="M14" i="24"/>
  <c r="G13" i="24"/>
  <c r="G12" i="24" s="1"/>
  <c r="G11" i="24" s="1"/>
  <c r="G10" i="24" s="1"/>
  <c r="G9" i="24" s="1"/>
  <c r="G8" i="24" s="1"/>
  <c r="G7" i="24" s="1"/>
  <c r="G6" i="24" s="1"/>
  <c r="G5" i="24" s="1"/>
  <c r="G4" i="24" s="1"/>
  <c r="F13" i="24"/>
  <c r="F16" i="61" l="1"/>
  <c r="D15" i="61"/>
  <c r="D13" i="60"/>
  <c r="F14" i="60"/>
  <c r="B10" i="40"/>
  <c r="M12" i="24"/>
  <c r="O12" i="24"/>
  <c r="N12" i="24"/>
  <c r="B11" i="24"/>
  <c r="B5" i="41"/>
  <c r="C10" i="24"/>
  <c r="F11" i="24"/>
  <c r="D5" i="24"/>
  <c r="N13" i="24"/>
  <c r="O13" i="24"/>
  <c r="M13" i="24"/>
  <c r="D14" i="61" l="1"/>
  <c r="F14" i="61" s="1"/>
  <c r="F15" i="61"/>
  <c r="D12" i="60"/>
  <c r="F13" i="60"/>
  <c r="D4" i="24"/>
  <c r="B10" i="24"/>
  <c r="N11" i="24"/>
  <c r="M11" i="24"/>
  <c r="O11" i="24"/>
  <c r="C9" i="24"/>
  <c r="F10" i="24"/>
  <c r="B4" i="41"/>
  <c r="B9" i="40"/>
  <c r="V27" i="24"/>
  <c r="V26" i="24" s="1"/>
  <c r="V25" i="24" s="1"/>
  <c r="V24" i="24" s="1"/>
  <c r="V23" i="24" s="1"/>
  <c r="V22" i="24" s="1"/>
  <c r="V21" i="24" s="1"/>
  <c r="V20" i="24" s="1"/>
  <c r="V19" i="24" s="1"/>
  <c r="V18" i="24" s="1"/>
  <c r="V17" i="24" s="1"/>
  <c r="V16" i="24" s="1"/>
  <c r="V15" i="24" s="1"/>
  <c r="V14" i="24" s="1"/>
  <c r="V13" i="24" s="1"/>
  <c r="D11" i="60" l="1"/>
  <c r="F12" i="60"/>
  <c r="O10" i="24"/>
  <c r="M10" i="24"/>
  <c r="N10" i="24"/>
  <c r="B8" i="40"/>
  <c r="B9" i="24"/>
  <c r="C8" i="24"/>
  <c r="F9" i="24"/>
  <c r="Q27" i="41"/>
  <c r="S27" i="24"/>
  <c r="V12" i="24"/>
  <c r="V11" i="24" s="1"/>
  <c r="V10" i="24" s="1"/>
  <c r="V9" i="24" s="1"/>
  <c r="V8" i="24" s="1"/>
  <c r="V7" i="24" s="1"/>
  <c r="V6" i="24" s="1"/>
  <c r="V5" i="24" s="1"/>
  <c r="V4" i="24" s="1"/>
  <c r="G27" i="37" s="1"/>
  <c r="G26" i="37" s="1"/>
  <c r="G25" i="37" s="1"/>
  <c r="G24" i="37" s="1"/>
  <c r="G23" i="37" s="1"/>
  <c r="G22" i="37" s="1"/>
  <c r="G21" i="37" s="1"/>
  <c r="G20" i="37" s="1"/>
  <c r="G19" i="37" s="1"/>
  <c r="G18" i="37" s="1"/>
  <c r="G17" i="37" s="1"/>
  <c r="G16" i="37" s="1"/>
  <c r="G15" i="37" s="1"/>
  <c r="G14" i="37" s="1"/>
  <c r="G13" i="37" s="1"/>
  <c r="G12" i="37" s="1"/>
  <c r="G11" i="37" s="1"/>
  <c r="G10" i="37" s="1"/>
  <c r="G9" i="37" s="1"/>
  <c r="G8" i="37" s="1"/>
  <c r="G7" i="37" s="1"/>
  <c r="G6" i="37" s="1"/>
  <c r="G5" i="37" s="1"/>
  <c r="G4" i="37" s="1"/>
  <c r="V27" i="37" s="1"/>
  <c r="V26" i="37" s="1"/>
  <c r="V25" i="37" s="1"/>
  <c r="V24" i="37" s="1"/>
  <c r="V23" i="37" s="1"/>
  <c r="V22" i="37" s="1"/>
  <c r="V21" i="37" s="1"/>
  <c r="V20" i="37" s="1"/>
  <c r="V19" i="37" s="1"/>
  <c r="V18" i="37" s="1"/>
  <c r="V17" i="37" s="1"/>
  <c r="V16" i="37" s="1"/>
  <c r="V15" i="37" s="1"/>
  <c r="V14" i="37" s="1"/>
  <c r="V13" i="37" s="1"/>
  <c r="V12" i="37" s="1"/>
  <c r="V11" i="37" s="1"/>
  <c r="V10" i="37" s="1"/>
  <c r="V9" i="37" s="1"/>
  <c r="V8" i="37" s="1"/>
  <c r="V7" i="37" s="1"/>
  <c r="V6" i="37" s="1"/>
  <c r="V5" i="37" s="1"/>
  <c r="V4" i="37" s="1"/>
  <c r="F11" i="60" l="1"/>
  <c r="D10" i="60"/>
  <c r="D18" i="57"/>
  <c r="D17" i="57" s="1"/>
  <c r="D16" i="57" s="1"/>
  <c r="D15" i="57" s="1"/>
  <c r="D14" i="57" s="1"/>
  <c r="D13" i="57" s="1"/>
  <c r="D12" i="57" s="1"/>
  <c r="D11" i="57" s="1"/>
  <c r="D10" i="57" s="1"/>
  <c r="D9" i="57" s="1"/>
  <c r="D8" i="57" s="1"/>
  <c r="D7" i="57" s="1"/>
  <c r="D6" i="57" s="1"/>
  <c r="D5" i="57" s="1"/>
  <c r="D4" i="57" s="1"/>
  <c r="M19" i="57" s="1"/>
  <c r="M18" i="57" s="1"/>
  <c r="M17" i="57" s="1"/>
  <c r="M16" i="57" s="1"/>
  <c r="M15" i="57" s="1"/>
  <c r="M14" i="57" s="1"/>
  <c r="M13" i="57" s="1"/>
  <c r="M12" i="57" s="1"/>
  <c r="M11" i="57" s="1"/>
  <c r="M10" i="57" s="1"/>
  <c r="M9" i="57" s="1"/>
  <c r="M8" i="57" s="1"/>
  <c r="M7" i="57" s="1"/>
  <c r="M6" i="57" s="1"/>
  <c r="M5" i="57" s="1"/>
  <c r="M4" i="57" s="1"/>
  <c r="D19" i="58" s="1"/>
  <c r="D18" i="58" s="1"/>
  <c r="D17" i="58" s="1"/>
  <c r="D16" i="58" s="1"/>
  <c r="D15" i="58" s="1"/>
  <c r="D14" i="58" s="1"/>
  <c r="D13" i="58" s="1"/>
  <c r="D12" i="58" s="1"/>
  <c r="D11" i="58" s="1"/>
  <c r="D10" i="58" s="1"/>
  <c r="D9" i="58" s="1"/>
  <c r="D8" i="58" s="1"/>
  <c r="D7" i="58" s="1"/>
  <c r="D6" i="58" s="1"/>
  <c r="D5" i="58" s="1"/>
  <c r="D4" i="58" s="1"/>
  <c r="M19" i="58" s="1"/>
  <c r="M18" i="58" s="1"/>
  <c r="M17" i="58" s="1"/>
  <c r="M16" i="58" s="1"/>
  <c r="M15" i="58" s="1"/>
  <c r="M14" i="58" s="1"/>
  <c r="M13" i="58" s="1"/>
  <c r="M12" i="58" s="1"/>
  <c r="M11" i="58" s="1"/>
  <c r="M10" i="58" s="1"/>
  <c r="M9" i="58" s="1"/>
  <c r="M8" i="58" s="1"/>
  <c r="M7" i="58" s="1"/>
  <c r="M6" i="58" s="1"/>
  <c r="M5" i="58" s="1"/>
  <c r="M4" i="58" s="1"/>
  <c r="G27" i="40"/>
  <c r="G26" i="40" s="1"/>
  <c r="G25" i="40" s="1"/>
  <c r="G24" i="40" s="1"/>
  <c r="G23" i="40" s="1"/>
  <c r="G22" i="40" s="1"/>
  <c r="G21" i="40" s="1"/>
  <c r="G20" i="40" s="1"/>
  <c r="G19" i="40" s="1"/>
  <c r="G18" i="40" s="1"/>
  <c r="G17" i="40" s="1"/>
  <c r="G16" i="40" s="1"/>
  <c r="G15" i="40" s="1"/>
  <c r="G14" i="40" s="1"/>
  <c r="G13" i="40" s="1"/>
  <c r="G12" i="40" s="1"/>
  <c r="G11" i="40" s="1"/>
  <c r="G10" i="40" s="1"/>
  <c r="G9" i="40" s="1"/>
  <c r="G8" i="40" s="1"/>
  <c r="G7" i="40" s="1"/>
  <c r="G6" i="40" s="1"/>
  <c r="G5" i="40" s="1"/>
  <c r="G4" i="40" s="1"/>
  <c r="S26" i="24"/>
  <c r="B7" i="40"/>
  <c r="Q26" i="41"/>
  <c r="N9" i="24"/>
  <c r="O9" i="24"/>
  <c r="M9" i="24"/>
  <c r="C7" i="24"/>
  <c r="F8" i="24"/>
  <c r="B8" i="24"/>
  <c r="F10" i="60" l="1"/>
  <c r="D9" i="60"/>
  <c r="V27" i="40"/>
  <c r="V26" i="40" s="1"/>
  <c r="V25" i="40" s="1"/>
  <c r="V24" i="40" s="1"/>
  <c r="V23" i="40" s="1"/>
  <c r="V22" i="40" s="1"/>
  <c r="V21" i="40" s="1"/>
  <c r="V20" i="40" s="1"/>
  <c r="V19" i="40" s="1"/>
  <c r="V18" i="40" s="1"/>
  <c r="V17" i="40" s="1"/>
  <c r="V16" i="40" s="1"/>
  <c r="V15" i="40" s="1"/>
  <c r="V14" i="40" s="1"/>
  <c r="V13" i="40" s="1"/>
  <c r="V12" i="40" s="1"/>
  <c r="V11" i="40" s="1"/>
  <c r="V10" i="40" s="1"/>
  <c r="V9" i="40" s="1"/>
  <c r="V8" i="40" s="1"/>
  <c r="V7" i="40" s="1"/>
  <c r="V6" i="40" s="1"/>
  <c r="V5" i="40" s="1"/>
  <c r="V4" i="40" s="1"/>
  <c r="G27" i="41" s="1"/>
  <c r="G26" i="41" s="1"/>
  <c r="G25" i="41" s="1"/>
  <c r="G24" i="41" s="1"/>
  <c r="G23" i="41" s="1"/>
  <c r="G22" i="41" s="1"/>
  <c r="G21" i="41" s="1"/>
  <c r="G20" i="41" s="1"/>
  <c r="G19" i="41" s="1"/>
  <c r="G18" i="41" s="1"/>
  <c r="G17" i="41" s="1"/>
  <c r="G16" i="41" s="1"/>
  <c r="G15" i="41" s="1"/>
  <c r="G14" i="41" s="1"/>
  <c r="G13" i="41" s="1"/>
  <c r="G12" i="41" s="1"/>
  <c r="G11" i="41" s="1"/>
  <c r="G10" i="41" s="1"/>
  <c r="G9" i="41" s="1"/>
  <c r="G8" i="41" s="1"/>
  <c r="G7" i="41" s="1"/>
  <c r="G6" i="41" s="1"/>
  <c r="G5" i="41" s="1"/>
  <c r="G4" i="41" s="1"/>
  <c r="V27" i="41" s="1"/>
  <c r="V26" i="41" s="1"/>
  <c r="V25" i="41" s="1"/>
  <c r="V24" i="41" s="1"/>
  <c r="V23" i="41" s="1"/>
  <c r="V22" i="41" s="1"/>
  <c r="V21" i="41" s="1"/>
  <c r="V20" i="41" s="1"/>
  <c r="V19" i="41" s="1"/>
  <c r="V18" i="41" s="1"/>
  <c r="V17" i="41" s="1"/>
  <c r="V16" i="41" s="1"/>
  <c r="V15" i="41" s="1"/>
  <c r="V14" i="41" s="1"/>
  <c r="V13" i="41" s="1"/>
  <c r="V12" i="41" s="1"/>
  <c r="V11" i="41" s="1"/>
  <c r="V10" i="41" s="1"/>
  <c r="V9" i="41" s="1"/>
  <c r="V8" i="41" s="1"/>
  <c r="V7" i="41" s="1"/>
  <c r="V6" i="41" s="1"/>
  <c r="V5" i="41" s="1"/>
  <c r="V4" i="41" s="1"/>
  <c r="C6" i="24"/>
  <c r="F7" i="24"/>
  <c r="B6" i="40"/>
  <c r="B7" i="24"/>
  <c r="M8" i="24"/>
  <c r="O8" i="24"/>
  <c r="N8" i="24"/>
  <c r="Q25" i="41"/>
  <c r="S25" i="24"/>
  <c r="F9" i="60" l="1"/>
  <c r="D8" i="60"/>
  <c r="S24" i="24"/>
  <c r="B6" i="24"/>
  <c r="Q24" i="41"/>
  <c r="B5" i="40"/>
  <c r="N7" i="24"/>
  <c r="M7" i="24"/>
  <c r="O7" i="24"/>
  <c r="C5" i="24"/>
  <c r="F6" i="24"/>
  <c r="D7" i="60" l="1"/>
  <c r="F8" i="60"/>
  <c r="B4" i="40"/>
  <c r="B5" i="24"/>
  <c r="C4" i="24"/>
  <c r="F5" i="24"/>
  <c r="O6" i="24"/>
  <c r="M6" i="24"/>
  <c r="N6" i="24"/>
  <c r="Q23" i="41"/>
  <c r="S23" i="24"/>
  <c r="D6" i="60" l="1"/>
  <c r="F7" i="60"/>
  <c r="Q22" i="41"/>
  <c r="N5" i="24"/>
  <c r="M5" i="24"/>
  <c r="O5" i="24"/>
  <c r="R27" i="24"/>
  <c r="F4" i="24"/>
  <c r="B4" i="24"/>
  <c r="Q27" i="40"/>
  <c r="S22" i="24"/>
  <c r="F6" i="60" l="1"/>
  <c r="D5" i="60"/>
  <c r="M4" i="24"/>
  <c r="O4" i="24"/>
  <c r="N4" i="24"/>
  <c r="Q26" i="40"/>
  <c r="S21" i="24"/>
  <c r="Q27" i="24"/>
  <c r="R26" i="24"/>
  <c r="U27" i="24"/>
  <c r="AB27" i="24" s="1"/>
  <c r="Q21" i="41"/>
  <c r="F5" i="60" l="1"/>
  <c r="D4" i="60"/>
  <c r="R25" i="24"/>
  <c r="U26" i="24"/>
  <c r="AB26" i="24" s="1"/>
  <c r="Q20" i="41"/>
  <c r="S20" i="24"/>
  <c r="AD27" i="24"/>
  <c r="AC27" i="24"/>
  <c r="Q26" i="24"/>
  <c r="Q25" i="40"/>
  <c r="F4" i="60" l="1"/>
  <c r="S35" i="60"/>
  <c r="Q19" i="41"/>
  <c r="AD26" i="24"/>
  <c r="AC26" i="24"/>
  <c r="Q24" i="40"/>
  <c r="S19" i="24"/>
  <c r="Q25" i="24"/>
  <c r="R24" i="24"/>
  <c r="U25" i="24"/>
  <c r="AB25" i="24" s="1"/>
  <c r="S34" i="60" l="1"/>
  <c r="U35" i="60"/>
  <c r="R23" i="24"/>
  <c r="U24" i="24"/>
  <c r="AB24" i="24" s="1"/>
  <c r="Q18" i="41"/>
  <c r="Q23" i="40"/>
  <c r="S18" i="24"/>
  <c r="Q24" i="24"/>
  <c r="AD25" i="24"/>
  <c r="AC25" i="24"/>
  <c r="U34" i="60" l="1"/>
  <c r="S33" i="60"/>
  <c r="Q23" i="24"/>
  <c r="S17" i="24"/>
  <c r="AD24" i="24"/>
  <c r="AC24" i="24"/>
  <c r="Q22" i="40"/>
  <c r="Q17" i="41"/>
  <c r="R22" i="24"/>
  <c r="U23" i="24"/>
  <c r="AB23" i="24" s="1"/>
  <c r="S32" i="60" l="1"/>
  <c r="U33" i="60"/>
  <c r="Q21" i="40"/>
  <c r="Q16" i="41"/>
  <c r="Q22" i="24"/>
  <c r="R21" i="24"/>
  <c r="U22" i="24"/>
  <c r="AB22" i="24" s="1"/>
  <c r="AD23" i="24"/>
  <c r="AC23" i="24"/>
  <c r="S16" i="24"/>
  <c r="S31" i="60" l="1"/>
  <c r="U32" i="60"/>
  <c r="AD22" i="24"/>
  <c r="AC22" i="24"/>
  <c r="Q21" i="24"/>
  <c r="S15" i="24"/>
  <c r="R20" i="24"/>
  <c r="U21" i="24"/>
  <c r="AB21" i="24" s="1"/>
  <c r="Q15" i="41"/>
  <c r="Q20" i="40"/>
  <c r="U31" i="60" l="1"/>
  <c r="S30" i="60"/>
  <c r="S14" i="24"/>
  <c r="AC21" i="24"/>
  <c r="AD21" i="24"/>
  <c r="R19" i="24"/>
  <c r="U20" i="24"/>
  <c r="AB20" i="24" s="1"/>
  <c r="Q19" i="40"/>
  <c r="Q14" i="41"/>
  <c r="Q20" i="24"/>
  <c r="S29" i="60" l="1"/>
  <c r="U30" i="60"/>
  <c r="Q13" i="41"/>
  <c r="R18" i="24"/>
  <c r="U19" i="24"/>
  <c r="AB19" i="24" s="1"/>
  <c r="Q19" i="24"/>
  <c r="Q18" i="40"/>
  <c r="AD20" i="24"/>
  <c r="AC20" i="24"/>
  <c r="S13" i="24"/>
  <c r="S28" i="60" l="1"/>
  <c r="U29" i="60"/>
  <c r="AD19" i="24"/>
  <c r="AC19" i="24"/>
  <c r="R17" i="24"/>
  <c r="U18" i="24"/>
  <c r="AB18" i="24" s="1"/>
  <c r="Q12" i="41"/>
  <c r="Q18" i="24"/>
  <c r="S12" i="24"/>
  <c r="Q17" i="40"/>
  <c r="U28" i="60" l="1"/>
  <c r="S27" i="60"/>
  <c r="Q17" i="24"/>
  <c r="R16" i="24"/>
  <c r="U17" i="24"/>
  <c r="AB17" i="24" s="1"/>
  <c r="S11" i="24"/>
  <c r="Q11" i="41"/>
  <c r="AD18" i="24"/>
  <c r="AC18" i="24"/>
  <c r="Q16" i="40"/>
  <c r="U27" i="60" l="1"/>
  <c r="S26" i="60"/>
  <c r="S10" i="24"/>
  <c r="Q15" i="40"/>
  <c r="AD17" i="24"/>
  <c r="AC17" i="24"/>
  <c r="Q10" i="41"/>
  <c r="R15" i="24"/>
  <c r="U16" i="24"/>
  <c r="AB16" i="24" s="1"/>
  <c r="Q16" i="24"/>
  <c r="S25" i="60" l="1"/>
  <c r="U26" i="60"/>
  <c r="Q15" i="24"/>
  <c r="R14" i="24"/>
  <c r="U15" i="24"/>
  <c r="AB15" i="24" s="1"/>
  <c r="Q9" i="41"/>
  <c r="Q14" i="40"/>
  <c r="AD16" i="24"/>
  <c r="AC16" i="24"/>
  <c r="S9" i="24"/>
  <c r="S24" i="60" l="1"/>
  <c r="U25" i="60"/>
  <c r="AD15" i="24"/>
  <c r="AC15" i="24"/>
  <c r="S8" i="24"/>
  <c r="Q8" i="41"/>
  <c r="Q14" i="24"/>
  <c r="Q13" i="40"/>
  <c r="R13" i="24"/>
  <c r="U14" i="24"/>
  <c r="AB14" i="24" s="1"/>
  <c r="U24" i="60" l="1"/>
  <c r="S23" i="60"/>
  <c r="AC14" i="24"/>
  <c r="AD14" i="24"/>
  <c r="R12" i="24"/>
  <c r="U13" i="24"/>
  <c r="AB13" i="24" s="1"/>
  <c r="Q7" i="41"/>
  <c r="S7" i="24"/>
  <c r="Q13" i="24"/>
  <c r="Q12" i="40"/>
  <c r="U23" i="60" l="1"/>
  <c r="S22" i="60"/>
  <c r="Q11" i="40"/>
  <c r="Q6" i="41"/>
  <c r="R11" i="24"/>
  <c r="U12" i="24"/>
  <c r="AB12" i="24" s="1"/>
  <c r="S6" i="24"/>
  <c r="Q12" i="24"/>
  <c r="AC13" i="24"/>
  <c r="AD13" i="24"/>
  <c r="S21" i="60" l="1"/>
  <c r="U22" i="60"/>
  <c r="Q10" i="40"/>
  <c r="AD12" i="24"/>
  <c r="AC12" i="24"/>
  <c r="R10" i="24"/>
  <c r="U11" i="24"/>
  <c r="AB11" i="24" s="1"/>
  <c r="Q11" i="24"/>
  <c r="S5" i="24"/>
  <c r="Q5" i="41"/>
  <c r="S20" i="60" l="1"/>
  <c r="U21" i="60"/>
  <c r="Q4" i="41"/>
  <c r="Q10" i="24"/>
  <c r="AD11" i="24"/>
  <c r="AC11" i="24"/>
  <c r="Q9" i="40"/>
  <c r="S4" i="24"/>
  <c r="R9" i="24"/>
  <c r="U10" i="24"/>
  <c r="AB10" i="24" s="1"/>
  <c r="S19" i="60" l="1"/>
  <c r="U20" i="60"/>
  <c r="Q9" i="24"/>
  <c r="R8" i="24"/>
  <c r="U9" i="24"/>
  <c r="AB9" i="24" s="1"/>
  <c r="Q8" i="40"/>
  <c r="D27" i="37"/>
  <c r="AC10" i="24"/>
  <c r="AD10" i="24"/>
  <c r="U19" i="60" l="1"/>
  <c r="S18" i="60"/>
  <c r="D26" i="37"/>
  <c r="Q8" i="24"/>
  <c r="AD9" i="24"/>
  <c r="AC9" i="24"/>
  <c r="R7" i="24"/>
  <c r="U8" i="24"/>
  <c r="AB8" i="24" s="1"/>
  <c r="Q7" i="40"/>
  <c r="U18" i="60" l="1"/>
  <c r="S17" i="60"/>
  <c r="Q6" i="40"/>
  <c r="R6" i="24"/>
  <c r="U7" i="24"/>
  <c r="AB7" i="24" s="1"/>
  <c r="AC8" i="24"/>
  <c r="AD8" i="24"/>
  <c r="Q7" i="24"/>
  <c r="D25" i="37"/>
  <c r="S16" i="60" l="1"/>
  <c r="U17" i="60"/>
  <c r="Q5" i="40"/>
  <c r="R5" i="24"/>
  <c r="U6" i="24"/>
  <c r="AB6" i="24" s="1"/>
  <c r="D24" i="37"/>
  <c r="Q6" i="24"/>
  <c r="AC7" i="24"/>
  <c r="AD7" i="24"/>
  <c r="U16" i="60" l="1"/>
  <c r="S15" i="60"/>
  <c r="Q5" i="24"/>
  <c r="AD6" i="24"/>
  <c r="AC6" i="24"/>
  <c r="R4" i="24"/>
  <c r="U5" i="24"/>
  <c r="AB5" i="24" s="1"/>
  <c r="D23" i="37"/>
  <c r="Q4" i="40"/>
  <c r="U15" i="60" l="1"/>
  <c r="S14" i="60"/>
  <c r="D22" i="37"/>
  <c r="C27" i="37"/>
  <c r="U4" i="24"/>
  <c r="AB4" i="24" s="1"/>
  <c r="Q4" i="24"/>
  <c r="AD5" i="24"/>
  <c r="AC5" i="24"/>
  <c r="S13" i="60" l="1"/>
  <c r="U14" i="60"/>
  <c r="D21" i="37"/>
  <c r="C26" i="37"/>
  <c r="F27" i="37"/>
  <c r="AD4" i="24"/>
  <c r="AC4" i="24"/>
  <c r="S12" i="60" l="1"/>
  <c r="U13" i="60"/>
  <c r="D20" i="37"/>
  <c r="C25" i="37"/>
  <c r="F26" i="37"/>
  <c r="M27" i="37"/>
  <c r="N27" i="37"/>
  <c r="O27" i="37"/>
  <c r="S11" i="60" l="1"/>
  <c r="U12" i="60"/>
  <c r="C24" i="37"/>
  <c r="F25" i="37"/>
  <c r="D19" i="37"/>
  <c r="O26" i="37"/>
  <c r="N26" i="37"/>
  <c r="M26" i="37"/>
  <c r="U11" i="60" l="1"/>
  <c r="S10" i="60"/>
  <c r="D18" i="37"/>
  <c r="O25" i="37"/>
  <c r="N25" i="37"/>
  <c r="M25" i="37"/>
  <c r="C23" i="37"/>
  <c r="F24" i="37"/>
  <c r="S9" i="60" l="1"/>
  <c r="U10" i="60"/>
  <c r="M24" i="37"/>
  <c r="N24" i="37"/>
  <c r="O24" i="37"/>
  <c r="C22" i="37"/>
  <c r="F23" i="37"/>
  <c r="D17" i="37"/>
  <c r="U9" i="60" l="1"/>
  <c r="S8" i="60"/>
  <c r="D16" i="37"/>
  <c r="C21" i="37"/>
  <c r="F22" i="37"/>
  <c r="M23" i="37"/>
  <c r="O23" i="37"/>
  <c r="N23" i="37"/>
  <c r="U8" i="60" l="1"/>
  <c r="S7" i="60"/>
  <c r="D15" i="37"/>
  <c r="C20" i="37"/>
  <c r="F21" i="37"/>
  <c r="M22" i="37"/>
  <c r="O22" i="37"/>
  <c r="N22" i="37"/>
  <c r="S6" i="60" l="1"/>
  <c r="U7" i="60"/>
  <c r="D14" i="37"/>
  <c r="C19" i="37"/>
  <c r="F20" i="37"/>
  <c r="N21" i="37"/>
  <c r="M21" i="37"/>
  <c r="O21" i="37"/>
  <c r="S5" i="60" l="1"/>
  <c r="U6" i="60"/>
  <c r="D13" i="37"/>
  <c r="C18" i="37"/>
  <c r="F19" i="37"/>
  <c r="O20" i="37"/>
  <c r="M20" i="37"/>
  <c r="N20" i="37"/>
  <c r="U5" i="60" l="1"/>
  <c r="S4" i="60"/>
  <c r="U4" i="60" s="1"/>
  <c r="C17" i="37"/>
  <c r="F18" i="37"/>
  <c r="O19" i="37"/>
  <c r="N19" i="37"/>
  <c r="M19" i="37"/>
  <c r="D12" i="37"/>
  <c r="O18" i="37" l="1"/>
  <c r="M18" i="37"/>
  <c r="N18" i="37"/>
  <c r="D11" i="37"/>
  <c r="C16" i="37"/>
  <c r="F17" i="37"/>
  <c r="O17" i="37" l="1"/>
  <c r="M17" i="37"/>
  <c r="N17" i="37"/>
  <c r="C15" i="37"/>
  <c r="F16" i="37"/>
  <c r="D10" i="37"/>
  <c r="D9" i="37" l="1"/>
  <c r="C14" i="37"/>
  <c r="F15" i="37"/>
  <c r="M16" i="37"/>
  <c r="N16" i="37"/>
  <c r="O16" i="37"/>
  <c r="D8" i="37" l="1"/>
  <c r="C13" i="37"/>
  <c r="F14" i="37"/>
  <c r="N15" i="37"/>
  <c r="M15" i="37"/>
  <c r="O15" i="37"/>
  <c r="C12" i="37" l="1"/>
  <c r="F13" i="37"/>
  <c r="D7" i="37"/>
  <c r="M14" i="37"/>
  <c r="O14" i="37"/>
  <c r="N14" i="37"/>
  <c r="O13" i="37" l="1"/>
  <c r="N13" i="37"/>
  <c r="M13" i="37"/>
  <c r="D6" i="37"/>
  <c r="C11" i="37"/>
  <c r="F12" i="37"/>
  <c r="M12" i="37" l="1"/>
  <c r="O12" i="37"/>
  <c r="N12" i="37"/>
  <c r="D5" i="37"/>
  <c r="C10" i="37"/>
  <c r="F11" i="37"/>
  <c r="C9" i="37" l="1"/>
  <c r="F10" i="37"/>
  <c r="O11" i="37"/>
  <c r="N11" i="37"/>
  <c r="M11" i="37"/>
  <c r="D4" i="37"/>
  <c r="S27" i="37" l="1"/>
  <c r="N10" i="37"/>
  <c r="O10" i="37"/>
  <c r="M10" i="37"/>
  <c r="C8" i="37"/>
  <c r="F9" i="37"/>
  <c r="S26" i="37" l="1"/>
  <c r="N9" i="37"/>
  <c r="M9" i="37"/>
  <c r="O9" i="37"/>
  <c r="C7" i="37"/>
  <c r="F8" i="37"/>
  <c r="N8" i="37" l="1"/>
  <c r="M8" i="37"/>
  <c r="O8" i="37"/>
  <c r="C6" i="37"/>
  <c r="F7" i="37"/>
  <c r="S25" i="37"/>
  <c r="C5" i="37" l="1"/>
  <c r="F6" i="37"/>
  <c r="S24" i="37"/>
  <c r="O7" i="37"/>
  <c r="M7" i="37"/>
  <c r="N7" i="37"/>
  <c r="S23" i="37" l="1"/>
  <c r="O6" i="37"/>
  <c r="M6" i="37"/>
  <c r="N6" i="37"/>
  <c r="C4" i="37"/>
  <c r="F5" i="37"/>
  <c r="M5" i="37" l="1"/>
  <c r="O5" i="37"/>
  <c r="N5" i="37"/>
  <c r="R27" i="37"/>
  <c r="F4" i="37"/>
  <c r="S22" i="37"/>
  <c r="R26" i="37" l="1"/>
  <c r="U27" i="37"/>
  <c r="AB27" i="37" s="1"/>
  <c r="S21" i="37"/>
  <c r="N4" i="37"/>
  <c r="O4" i="37"/>
  <c r="M4" i="37"/>
  <c r="S20" i="37" l="1"/>
  <c r="AC27" i="37"/>
  <c r="AD27" i="37"/>
  <c r="R25" i="37"/>
  <c r="U26" i="37"/>
  <c r="AB26" i="37" s="1"/>
  <c r="S19" i="37" l="1"/>
  <c r="AD26" i="37"/>
  <c r="AC26" i="37"/>
  <c r="R24" i="37"/>
  <c r="U25" i="37"/>
  <c r="AB25" i="37" s="1"/>
  <c r="AD25" i="37" l="1"/>
  <c r="AC25" i="37"/>
  <c r="R23" i="37"/>
  <c r="U24" i="37"/>
  <c r="AB24" i="37" s="1"/>
  <c r="S18" i="37"/>
  <c r="AD24" i="37" l="1"/>
  <c r="AC24" i="37"/>
  <c r="R22" i="37"/>
  <c r="U23" i="37"/>
  <c r="AB23" i="37" s="1"/>
  <c r="S17" i="37"/>
  <c r="S16" i="37" l="1"/>
  <c r="R21" i="37"/>
  <c r="U22" i="37"/>
  <c r="AB22" i="37" s="1"/>
  <c r="AD23" i="37"/>
  <c r="AC23" i="37"/>
  <c r="R20" i="37" l="1"/>
  <c r="U21" i="37"/>
  <c r="AB21" i="37" s="1"/>
  <c r="AD22" i="37"/>
  <c r="AC22" i="37"/>
  <c r="S15" i="37"/>
  <c r="S14" i="37" l="1"/>
  <c r="AD21" i="37"/>
  <c r="AC21" i="37"/>
  <c r="R19" i="37"/>
  <c r="U20" i="37"/>
  <c r="AB20" i="37" s="1"/>
  <c r="AC20" i="37" l="1"/>
  <c r="AD20" i="37"/>
  <c r="R18" i="37"/>
  <c r="U19" i="37"/>
  <c r="AB19" i="37" s="1"/>
  <c r="S13" i="37"/>
  <c r="R17" i="37" l="1"/>
  <c r="U18" i="37"/>
  <c r="AB18" i="37" s="1"/>
  <c r="S12" i="37"/>
  <c r="AD19" i="37"/>
  <c r="AC19" i="37"/>
  <c r="S11" i="37" l="1"/>
  <c r="AD18" i="37"/>
  <c r="AC18" i="37"/>
  <c r="R16" i="37"/>
  <c r="U17" i="37"/>
  <c r="AB17" i="37" s="1"/>
  <c r="AD17" i="37" l="1"/>
  <c r="AC17" i="37"/>
  <c r="S10" i="37"/>
  <c r="R15" i="37"/>
  <c r="U16" i="37"/>
  <c r="AB16" i="37" s="1"/>
  <c r="R14" i="37" l="1"/>
  <c r="U15" i="37"/>
  <c r="AB15" i="37" s="1"/>
  <c r="AC16" i="37"/>
  <c r="AD16" i="37"/>
  <c r="S9" i="37"/>
  <c r="AC15" i="37" l="1"/>
  <c r="AD15" i="37"/>
  <c r="S8" i="37"/>
  <c r="R13" i="37"/>
  <c r="U14" i="37"/>
  <c r="AB14" i="37" s="1"/>
  <c r="AD14" i="37" l="1"/>
  <c r="AC14" i="37"/>
  <c r="S7" i="37"/>
  <c r="R12" i="37"/>
  <c r="U13" i="37"/>
  <c r="AB13" i="37" s="1"/>
  <c r="AD13" i="37" l="1"/>
  <c r="AC13" i="37"/>
  <c r="R11" i="37"/>
  <c r="U12" i="37"/>
  <c r="AB12" i="37" s="1"/>
  <c r="S6" i="37"/>
  <c r="S5" i="37" l="1"/>
  <c r="R10" i="37"/>
  <c r="U11" i="37"/>
  <c r="AB11" i="37" s="1"/>
  <c r="AC12" i="37"/>
  <c r="AD12" i="37"/>
  <c r="R9" i="37" l="1"/>
  <c r="U10" i="37"/>
  <c r="AB10" i="37" s="1"/>
  <c r="AC11" i="37"/>
  <c r="AD11" i="37"/>
  <c r="S4" i="37"/>
  <c r="AC10" i="37" l="1"/>
  <c r="AD10" i="37"/>
  <c r="R8" i="37"/>
  <c r="U9" i="37"/>
  <c r="AB9" i="37" s="1"/>
  <c r="R7" i="37" l="1"/>
  <c r="U8" i="37"/>
  <c r="AB8" i="37" s="1"/>
  <c r="AD9" i="37"/>
  <c r="AC9" i="37"/>
  <c r="AD8" i="37" l="1"/>
  <c r="AC8" i="37"/>
  <c r="R6" i="37"/>
  <c r="U7" i="37"/>
  <c r="AB7" i="37" s="1"/>
  <c r="R5" i="37" l="1"/>
  <c r="U6" i="37"/>
  <c r="AB6" i="37" s="1"/>
  <c r="AD7" i="37"/>
  <c r="AC7" i="37"/>
  <c r="AD6" i="37" l="1"/>
  <c r="AC6" i="37"/>
  <c r="R4" i="37"/>
  <c r="C27" i="40" s="1"/>
  <c r="U5" i="37"/>
  <c r="AB5" i="37" s="1"/>
  <c r="AC5" i="37" l="1"/>
  <c r="AD5" i="37"/>
  <c r="U4" i="37"/>
  <c r="AB4" i="37" s="1"/>
  <c r="AC4" i="37" l="1"/>
  <c r="AD4" i="37"/>
  <c r="D26" i="40" l="1"/>
  <c r="D25" i="40" l="1"/>
  <c r="D24" i="40" l="1"/>
  <c r="D23" i="40" l="1"/>
  <c r="D22" i="40" l="1"/>
  <c r="C26" i="40" l="1"/>
  <c r="F27" i="40"/>
  <c r="M27" i="40" s="1"/>
  <c r="D21" i="40"/>
  <c r="D20" i="40" l="1"/>
  <c r="N27" i="40"/>
  <c r="O27" i="40"/>
  <c r="C25" i="40"/>
  <c r="F26" i="40"/>
  <c r="M26" i="40" s="1"/>
  <c r="C24" i="40" l="1"/>
  <c r="F25" i="40"/>
  <c r="M25" i="40" s="1"/>
  <c r="N26" i="40"/>
  <c r="O26" i="40"/>
  <c r="D19" i="40"/>
  <c r="D18" i="40" l="1"/>
  <c r="N25" i="40"/>
  <c r="O25" i="40"/>
  <c r="C23" i="40"/>
  <c r="F24" i="40"/>
  <c r="M24" i="40" s="1"/>
  <c r="O24" i="40" l="1"/>
  <c r="N24" i="40"/>
  <c r="C22" i="40"/>
  <c r="F23" i="40"/>
  <c r="M23" i="40" s="1"/>
  <c r="D17" i="40"/>
  <c r="D16" i="40" l="1"/>
  <c r="C21" i="40"/>
  <c r="F22" i="40"/>
  <c r="M22" i="40" s="1"/>
  <c r="O23" i="40"/>
  <c r="N23" i="40"/>
  <c r="D15" i="40" l="1"/>
  <c r="C20" i="40"/>
  <c r="F21" i="40"/>
  <c r="M21" i="40" s="1"/>
  <c r="N22" i="40"/>
  <c r="O22" i="40"/>
  <c r="D14" i="40" l="1"/>
  <c r="C19" i="40"/>
  <c r="F20" i="40"/>
  <c r="M20" i="40" s="1"/>
  <c r="N21" i="40"/>
  <c r="O21" i="40"/>
  <c r="O20" i="40" l="1"/>
  <c r="N20" i="40"/>
  <c r="C18" i="40"/>
  <c r="F19" i="40"/>
  <c r="M19" i="40" s="1"/>
  <c r="D13" i="40"/>
  <c r="O19" i="40" l="1"/>
  <c r="N19" i="40"/>
  <c r="C17" i="40"/>
  <c r="F18" i="40"/>
  <c r="M18" i="40" s="1"/>
  <c r="D12" i="40"/>
  <c r="C16" i="40" l="1"/>
  <c r="F17" i="40"/>
  <c r="M17" i="40" s="1"/>
  <c r="D11" i="40"/>
  <c r="N18" i="40"/>
  <c r="O18" i="40"/>
  <c r="D10" i="40" l="1"/>
  <c r="N17" i="40"/>
  <c r="O17" i="40"/>
  <c r="C15" i="40"/>
  <c r="F16" i="40"/>
  <c r="M16" i="40" s="1"/>
  <c r="N16" i="40" l="1"/>
  <c r="O16" i="40"/>
  <c r="C14" i="40"/>
  <c r="F15" i="40"/>
  <c r="M15" i="40" s="1"/>
  <c r="D9" i="40"/>
  <c r="C13" i="40" l="1"/>
  <c r="F14" i="40"/>
  <c r="M14" i="40" s="1"/>
  <c r="D8" i="40"/>
  <c r="N15" i="40"/>
  <c r="O15" i="40"/>
  <c r="D7" i="40" l="1"/>
  <c r="N14" i="40"/>
  <c r="O14" i="40"/>
  <c r="C12" i="40"/>
  <c r="F13" i="40"/>
  <c r="M13" i="40" s="1"/>
  <c r="O13" i="40" l="1"/>
  <c r="N13" i="40"/>
  <c r="D6" i="40"/>
  <c r="C11" i="40"/>
  <c r="F12" i="40"/>
  <c r="M12" i="40" s="1"/>
  <c r="D5" i="40" l="1"/>
  <c r="C10" i="40"/>
  <c r="F11" i="40"/>
  <c r="M11" i="40" s="1"/>
  <c r="O12" i="40"/>
  <c r="N12" i="40"/>
  <c r="D4" i="40" l="1"/>
  <c r="C9" i="40"/>
  <c r="F10" i="40"/>
  <c r="M10" i="40" s="1"/>
  <c r="O11" i="40"/>
  <c r="N11" i="40"/>
  <c r="O10" i="40" l="1"/>
  <c r="N10" i="40"/>
  <c r="C8" i="40"/>
  <c r="F9" i="40"/>
  <c r="M9" i="40" s="1"/>
  <c r="S27" i="40"/>
  <c r="S26" i="40" l="1"/>
  <c r="C7" i="40"/>
  <c r="F8" i="40"/>
  <c r="M8" i="40" s="1"/>
  <c r="O9" i="40"/>
  <c r="N9" i="40"/>
  <c r="C6" i="40" l="1"/>
  <c r="F7" i="40"/>
  <c r="M7" i="40" s="1"/>
  <c r="O8" i="40"/>
  <c r="N8" i="40"/>
  <c r="S25" i="40"/>
  <c r="S24" i="40" l="1"/>
  <c r="N7" i="40"/>
  <c r="O7" i="40"/>
  <c r="C5" i="40"/>
  <c r="F6" i="40"/>
  <c r="M6" i="40" s="1"/>
  <c r="O6" i="40" l="1"/>
  <c r="N6" i="40"/>
  <c r="C4" i="40"/>
  <c r="F5" i="40"/>
  <c r="M5" i="40" s="1"/>
  <c r="S23" i="40"/>
  <c r="R27" i="40" l="1"/>
  <c r="F4" i="40"/>
  <c r="M4" i="40" s="1"/>
  <c r="S22" i="40"/>
  <c r="N5" i="40"/>
  <c r="O5" i="40"/>
  <c r="S21" i="40" l="1"/>
  <c r="O4" i="40"/>
  <c r="N4" i="40"/>
  <c r="R26" i="40"/>
  <c r="U27" i="40"/>
  <c r="AB27" i="40" s="1"/>
  <c r="R25" i="40" l="1"/>
  <c r="U26" i="40"/>
  <c r="AB26" i="40" s="1"/>
  <c r="AD27" i="40"/>
  <c r="AC27" i="40"/>
  <c r="S20" i="40"/>
  <c r="S19" i="40" l="1"/>
  <c r="AD26" i="40"/>
  <c r="AC26" i="40"/>
  <c r="R24" i="40"/>
  <c r="U25" i="40"/>
  <c r="AB25" i="40" s="1"/>
  <c r="AC25" i="40" l="1"/>
  <c r="AD25" i="40"/>
  <c r="R23" i="40"/>
  <c r="U24" i="40"/>
  <c r="AB24" i="40" s="1"/>
  <c r="S18" i="40"/>
  <c r="R22" i="40" l="1"/>
  <c r="U23" i="40"/>
  <c r="AB23" i="40" s="1"/>
  <c r="S17" i="40"/>
  <c r="AC24" i="40"/>
  <c r="AD24" i="40"/>
  <c r="S16" i="40" l="1"/>
  <c r="AC23" i="40"/>
  <c r="AD23" i="40"/>
  <c r="R21" i="40"/>
  <c r="U22" i="40"/>
  <c r="AB22" i="40" s="1"/>
  <c r="R20" i="40" l="1"/>
  <c r="U21" i="40"/>
  <c r="AB21" i="40" s="1"/>
  <c r="AC22" i="40"/>
  <c r="AD22" i="40"/>
  <c r="S15" i="40"/>
  <c r="S14" i="40" l="1"/>
  <c r="AC21" i="40"/>
  <c r="AD21" i="40"/>
  <c r="R19" i="40"/>
  <c r="U20" i="40"/>
  <c r="AB20" i="40" s="1"/>
  <c r="AC20" i="40" l="1"/>
  <c r="AD20" i="40"/>
  <c r="R18" i="40"/>
  <c r="U19" i="40"/>
  <c r="AB19" i="40" s="1"/>
  <c r="S13" i="40"/>
  <c r="S12" i="40" l="1"/>
  <c r="R17" i="40"/>
  <c r="U18" i="40"/>
  <c r="AB18" i="40" s="1"/>
  <c r="AD19" i="40"/>
  <c r="AC19" i="40"/>
  <c r="AC18" i="40" l="1"/>
  <c r="AD18" i="40"/>
  <c r="R16" i="40"/>
  <c r="U17" i="40"/>
  <c r="AB17" i="40" s="1"/>
  <c r="S11" i="40"/>
  <c r="S10" i="40" l="1"/>
  <c r="R15" i="40"/>
  <c r="U16" i="40"/>
  <c r="AB16" i="40" s="1"/>
  <c r="AC17" i="40"/>
  <c r="AD17" i="40"/>
  <c r="AD16" i="40" l="1"/>
  <c r="AC16" i="40"/>
  <c r="R14" i="40"/>
  <c r="U15" i="40"/>
  <c r="AB15" i="40" s="1"/>
  <c r="S9" i="40"/>
  <c r="S8" i="40" l="1"/>
  <c r="R13" i="40"/>
  <c r="U14" i="40"/>
  <c r="AB14" i="40" s="1"/>
  <c r="AC15" i="40"/>
  <c r="AD15" i="40"/>
  <c r="S7" i="40" l="1"/>
  <c r="R12" i="40"/>
  <c r="U13" i="40"/>
  <c r="AB13" i="40" s="1"/>
  <c r="AC14" i="40"/>
  <c r="AD14" i="40"/>
  <c r="S6" i="40" l="1"/>
  <c r="R11" i="40"/>
  <c r="U12" i="40"/>
  <c r="AB12" i="40" s="1"/>
  <c r="AC13" i="40"/>
  <c r="AD13" i="40"/>
  <c r="R10" i="40" l="1"/>
  <c r="U11" i="40"/>
  <c r="AB11" i="40" s="1"/>
  <c r="AD12" i="40"/>
  <c r="AC12" i="40"/>
  <c r="S5" i="40"/>
  <c r="S4" i="40" l="1"/>
  <c r="AC11" i="40"/>
  <c r="AD11" i="40"/>
  <c r="R9" i="40"/>
  <c r="U10" i="40"/>
  <c r="AB10" i="40" s="1"/>
  <c r="R8" i="40" l="1"/>
  <c r="U9" i="40"/>
  <c r="AB9" i="40" s="1"/>
  <c r="AC10" i="40"/>
  <c r="AD10" i="40"/>
  <c r="D27" i="41"/>
  <c r="D26" i="41" l="1"/>
  <c r="AD9" i="40"/>
  <c r="AC9" i="40"/>
  <c r="R7" i="40"/>
  <c r="U8" i="40"/>
  <c r="AB8" i="40" s="1"/>
  <c r="R6" i="40" l="1"/>
  <c r="U7" i="40"/>
  <c r="AB7" i="40" s="1"/>
  <c r="AD8" i="40"/>
  <c r="AC8" i="40"/>
  <c r="D25" i="41"/>
  <c r="AC7" i="40" l="1"/>
  <c r="AD7" i="40"/>
  <c r="D24" i="41"/>
  <c r="R5" i="40"/>
  <c r="U6" i="40"/>
  <c r="AB6" i="40" s="1"/>
  <c r="AD6" i="40" l="1"/>
  <c r="AC6" i="40"/>
  <c r="D23" i="41"/>
  <c r="R4" i="40"/>
  <c r="U5" i="40"/>
  <c r="AB5" i="40" s="1"/>
  <c r="AC5" i="40" l="1"/>
  <c r="AD5" i="40"/>
  <c r="D22" i="41"/>
  <c r="C27" i="41"/>
  <c r="U4" i="40"/>
  <c r="AB4" i="40" s="1"/>
  <c r="AD4" i="40" l="1"/>
  <c r="AC4" i="40"/>
  <c r="D21" i="41"/>
  <c r="C26" i="41"/>
  <c r="F27" i="41"/>
  <c r="M27" i="41" s="1"/>
  <c r="N27" i="41" l="1"/>
  <c r="O27" i="41"/>
  <c r="D20" i="41"/>
  <c r="C25" i="41"/>
  <c r="F26" i="41"/>
  <c r="M26" i="41" s="1"/>
  <c r="D19" i="41" l="1"/>
  <c r="C24" i="41"/>
  <c r="F25" i="41"/>
  <c r="M25" i="41" s="1"/>
  <c r="O26" i="41"/>
  <c r="N26" i="41"/>
  <c r="N25" i="41" l="1"/>
  <c r="O25" i="41"/>
  <c r="C23" i="41"/>
  <c r="F24" i="41"/>
  <c r="M24" i="41" s="1"/>
  <c r="D18" i="41"/>
  <c r="C22" i="41" l="1"/>
  <c r="F23" i="41"/>
  <c r="M23" i="41" s="1"/>
  <c r="D17" i="41"/>
  <c r="N24" i="41"/>
  <c r="O24" i="41"/>
  <c r="D16" i="41" l="1"/>
  <c r="O23" i="41"/>
  <c r="N23" i="41"/>
  <c r="C21" i="41"/>
  <c r="F22" i="41"/>
  <c r="M22" i="41" s="1"/>
  <c r="C20" i="41" l="1"/>
  <c r="F21" i="41"/>
  <c r="M21" i="41" s="1"/>
  <c r="N22" i="41"/>
  <c r="O22" i="41"/>
  <c r="D15" i="41"/>
  <c r="N21" i="41" l="1"/>
  <c r="O21" i="41"/>
  <c r="D14" i="41"/>
  <c r="C19" i="41"/>
  <c r="F20" i="41"/>
  <c r="M20" i="41" s="1"/>
  <c r="D13" i="41" l="1"/>
  <c r="C18" i="41"/>
  <c r="F19" i="41"/>
  <c r="M19" i="41" s="1"/>
  <c r="O20" i="41"/>
  <c r="N20" i="41"/>
  <c r="O19" i="41" l="1"/>
  <c r="N19" i="41"/>
  <c r="C17" i="41"/>
  <c r="F18" i="41"/>
  <c r="M18" i="41" s="1"/>
  <c r="D12" i="41"/>
  <c r="D11" i="41" s="1"/>
  <c r="D10" i="41" l="1"/>
  <c r="C16" i="41"/>
  <c r="F17" i="41"/>
  <c r="M17" i="41" s="1"/>
  <c r="N18" i="41"/>
  <c r="O18" i="41"/>
  <c r="D9" i="41" l="1"/>
  <c r="O17" i="41"/>
  <c r="N17" i="41"/>
  <c r="C15" i="41"/>
  <c r="F16" i="41"/>
  <c r="M16" i="41" s="1"/>
  <c r="D8" i="41" l="1"/>
  <c r="C14" i="41"/>
  <c r="F15" i="41"/>
  <c r="M15" i="41" s="1"/>
  <c r="O16" i="41"/>
  <c r="N16" i="41"/>
  <c r="D7" i="41" l="1"/>
  <c r="O15" i="41"/>
  <c r="N15" i="41"/>
  <c r="C13" i="41"/>
  <c r="F14" i="41"/>
  <c r="M14" i="41" s="1"/>
  <c r="D6" i="41" l="1"/>
  <c r="C12" i="41"/>
  <c r="C11" i="41" s="1"/>
  <c r="F13" i="41"/>
  <c r="M13" i="41" s="1"/>
  <c r="O14" i="41"/>
  <c r="N14" i="41"/>
  <c r="C10" i="41" l="1"/>
  <c r="F11" i="41"/>
  <c r="D5" i="41"/>
  <c r="N13" i="41"/>
  <c r="O13" i="41"/>
  <c r="F12" i="41"/>
  <c r="M12" i="41" s="1"/>
  <c r="D4" i="41" l="1"/>
  <c r="M11" i="41"/>
  <c r="N11" i="41"/>
  <c r="O11" i="41"/>
  <c r="C9" i="41"/>
  <c r="F10" i="41"/>
  <c r="M10" i="41" s="1"/>
  <c r="N12" i="41"/>
  <c r="O12" i="41"/>
  <c r="C8" i="41" l="1"/>
  <c r="F9" i="41"/>
  <c r="M9" i="41" s="1"/>
  <c r="O10" i="41"/>
  <c r="N10" i="41"/>
  <c r="S27" i="41"/>
  <c r="C7" i="41" l="1"/>
  <c r="F8" i="41"/>
  <c r="M8" i="41" s="1"/>
  <c r="S26" i="41"/>
  <c r="N9" i="41"/>
  <c r="O9" i="41"/>
  <c r="C6" i="41" l="1"/>
  <c r="F7" i="41"/>
  <c r="M7" i="41" s="1"/>
  <c r="S25" i="41"/>
  <c r="O8" i="41"/>
  <c r="N8" i="41"/>
  <c r="C5" i="41" l="1"/>
  <c r="F6" i="41"/>
  <c r="M6" i="41" s="1"/>
  <c r="O7" i="41"/>
  <c r="N7" i="41"/>
  <c r="S24" i="41"/>
  <c r="C4" i="41" l="1"/>
  <c r="F4" i="41" s="1"/>
  <c r="M4" i="41" s="1"/>
  <c r="F5" i="41"/>
  <c r="M5" i="41" s="1"/>
  <c r="S23" i="41"/>
  <c r="O6" i="41"/>
  <c r="N6" i="41"/>
  <c r="O5" i="41" l="1"/>
  <c r="N5" i="41"/>
  <c r="S22" i="41"/>
  <c r="R27" i="41"/>
  <c r="R26" i="41" l="1"/>
  <c r="U27" i="41"/>
  <c r="N4" i="41"/>
  <c r="O4" i="41"/>
  <c r="S21" i="41"/>
  <c r="AC27" i="41" l="1"/>
  <c r="AD27" i="41"/>
  <c r="AB27" i="41"/>
  <c r="S20" i="41"/>
  <c r="R25" i="41"/>
  <c r="U26" i="41"/>
  <c r="R24" i="41" l="1"/>
  <c r="U25" i="41"/>
  <c r="AB26" i="41"/>
  <c r="AC26" i="41"/>
  <c r="AD26" i="41"/>
  <c r="S19" i="41"/>
  <c r="S18" i="41" l="1"/>
  <c r="AC25" i="41"/>
  <c r="AD25" i="41"/>
  <c r="AB25" i="41"/>
  <c r="R23" i="41"/>
  <c r="U24" i="41"/>
  <c r="AD24" i="41" l="1"/>
  <c r="AB24" i="41"/>
  <c r="AC24" i="41"/>
  <c r="R22" i="41"/>
  <c r="U23" i="41"/>
  <c r="S17" i="41"/>
  <c r="R21" i="41" l="1"/>
  <c r="U22" i="41"/>
  <c r="S16" i="41"/>
  <c r="AC23" i="41"/>
  <c r="AD23" i="41"/>
  <c r="AB23" i="41"/>
  <c r="S15" i="41" l="1"/>
  <c r="AD22" i="41"/>
  <c r="AB22" i="41"/>
  <c r="AC22" i="41"/>
  <c r="R20" i="41"/>
  <c r="U21" i="41"/>
  <c r="R19" i="41" l="1"/>
  <c r="U20" i="41"/>
  <c r="AB21" i="41"/>
  <c r="AC21" i="41"/>
  <c r="AD21" i="41"/>
  <c r="S14" i="41"/>
  <c r="AB20" i="41" l="1"/>
  <c r="AD20" i="41"/>
  <c r="AC20" i="41"/>
  <c r="S13" i="41"/>
  <c r="R18" i="41"/>
  <c r="U19" i="41"/>
  <c r="AD19" i="41" l="1"/>
  <c r="AB19" i="41"/>
  <c r="AC19" i="41"/>
  <c r="R17" i="41"/>
  <c r="U18" i="41"/>
  <c r="S12" i="41"/>
  <c r="S11" i="41" l="1"/>
  <c r="R16" i="41"/>
  <c r="U17" i="41"/>
  <c r="AB18" i="41"/>
  <c r="AC18" i="41"/>
  <c r="AD18" i="41"/>
  <c r="S10" i="41" l="1"/>
  <c r="R15" i="41"/>
  <c r="U16" i="41"/>
  <c r="AD17" i="41"/>
  <c r="AB17" i="41"/>
  <c r="AC17" i="41"/>
  <c r="S9" i="41" l="1"/>
  <c r="R14" i="41"/>
  <c r="U15" i="41"/>
  <c r="AB16" i="41"/>
  <c r="AC16" i="41"/>
  <c r="AD16" i="41"/>
  <c r="R13" i="41" l="1"/>
  <c r="U14" i="41"/>
  <c r="AD15" i="41"/>
  <c r="AC15" i="41"/>
  <c r="AB15" i="41"/>
  <c r="S8" i="41"/>
  <c r="AD14" i="41" l="1"/>
  <c r="AC14" i="41"/>
  <c r="AB14" i="41"/>
  <c r="S7" i="41"/>
  <c r="R12" i="41"/>
  <c r="U13" i="41"/>
  <c r="AB13" i="41" l="1"/>
  <c r="AC13" i="41"/>
  <c r="AD13" i="41"/>
  <c r="R11" i="41"/>
  <c r="U12" i="41"/>
  <c r="S6" i="41"/>
  <c r="S5" i="41" l="1"/>
  <c r="R10" i="41"/>
  <c r="U11" i="41"/>
  <c r="AD12" i="41"/>
  <c r="AB12" i="41"/>
  <c r="AC12" i="41"/>
  <c r="R9" i="41" l="1"/>
  <c r="U10" i="41"/>
  <c r="AC11" i="41"/>
  <c r="AD11" i="41"/>
  <c r="AB11" i="41"/>
  <c r="S4" i="41"/>
  <c r="AC10" i="41" l="1"/>
  <c r="AB10" i="41"/>
  <c r="AD10" i="41"/>
  <c r="R8" i="41"/>
  <c r="U9" i="41"/>
  <c r="AB9" i="41" l="1"/>
  <c r="AD9" i="41"/>
  <c r="AC9" i="41"/>
  <c r="R7" i="41"/>
  <c r="U8" i="41"/>
  <c r="R6" i="41" l="1"/>
  <c r="U7" i="41"/>
  <c r="AC8" i="41"/>
  <c r="AD8" i="41"/>
  <c r="AB8" i="41"/>
  <c r="R5" i="41" l="1"/>
  <c r="U6" i="41"/>
  <c r="AB7" i="41"/>
  <c r="AC7" i="41"/>
  <c r="AD7" i="41"/>
  <c r="AC6" i="41" l="1"/>
  <c r="AD6" i="41"/>
  <c r="AB6" i="41"/>
  <c r="R4" i="41"/>
  <c r="U5" i="41"/>
  <c r="AD5" i="41" l="1"/>
  <c r="AB5" i="41"/>
  <c r="AC5" i="41"/>
  <c r="U4" i="41"/>
  <c r="AD4" i="41" l="1"/>
  <c r="AC4" i="41"/>
  <c r="AB4" i="41"/>
</calcChain>
</file>

<file path=xl/sharedStrings.xml><?xml version="1.0" encoding="utf-8"?>
<sst xmlns="http://schemas.openxmlformats.org/spreadsheetml/2006/main" count="883" uniqueCount="431">
  <si>
    <t>Port</t>
  </si>
  <si>
    <t>SLOT 3</t>
  </si>
  <si>
    <t>ASIC 0</t>
  </si>
  <si>
    <t>ASIC 1</t>
  </si>
  <si>
    <t>Attached Device</t>
  </si>
  <si>
    <t>FID</t>
  </si>
  <si>
    <t>Link Addr</t>
  </si>
  <si>
    <t>DID (Hex)</t>
  </si>
  <si>
    <t>Port Addr (Hex)</t>
  </si>
  <si>
    <t>Low Qos VC</t>
  </si>
  <si>
    <t>Med Qos VC</t>
  </si>
  <si>
    <t>High Qos VC</t>
  </si>
  <si>
    <t>Med</t>
  </si>
  <si>
    <t>Low</t>
  </si>
  <si>
    <t>High</t>
  </si>
  <si>
    <t>SLOT 4</t>
  </si>
  <si>
    <t>Area</t>
  </si>
  <si>
    <t>Parameter</t>
  </si>
  <si>
    <t>Comments</t>
  </si>
  <si>
    <t>Fabric ID (FID)</t>
  </si>
  <si>
    <t>Fabric Name</t>
  </si>
  <si>
    <t>Switch Name</t>
  </si>
  <si>
    <t>Domain ID (DID)</t>
  </si>
  <si>
    <t>0x01</t>
  </si>
  <si>
    <t>Allow XISL</t>
  </si>
  <si>
    <t>Yes</t>
  </si>
  <si>
    <t>Login Banner</t>
  </si>
  <si>
    <t>DID</t>
  </si>
  <si>
    <t>0x02</t>
  </si>
  <si>
    <t>base</t>
  </si>
  <si>
    <t>0x03</t>
  </si>
  <si>
    <t>0x04</t>
  </si>
  <si>
    <t>0x05</t>
  </si>
  <si>
    <t>0x06</t>
  </si>
  <si>
    <t>0x07</t>
  </si>
  <si>
    <t>0x08</t>
  </si>
  <si>
    <t>0x09</t>
  </si>
  <si>
    <t>0x0A</t>
  </si>
  <si>
    <t>0x0B</t>
  </si>
  <si>
    <t>0x0C</t>
  </si>
  <si>
    <t>0x0D</t>
  </si>
  <si>
    <t>0x0E</t>
  </si>
  <si>
    <t>0x0F</t>
  </si>
  <si>
    <t>0x10</t>
  </si>
  <si>
    <t>0x11</t>
  </si>
  <si>
    <t>0x12</t>
  </si>
  <si>
    <t>0x13</t>
  </si>
  <si>
    <t>0x14</t>
  </si>
  <si>
    <t>0x15</t>
  </si>
  <si>
    <t>0x16</t>
  </si>
  <si>
    <t>0x17</t>
  </si>
  <si>
    <t>0x18</t>
  </si>
  <si>
    <t>0x19</t>
  </si>
  <si>
    <t>0x1A</t>
  </si>
  <si>
    <t>0x1B</t>
  </si>
  <si>
    <t>0x1C</t>
  </si>
  <si>
    <t>0x1D</t>
  </si>
  <si>
    <t>0x1E</t>
  </si>
  <si>
    <t>0x1F</t>
  </si>
  <si>
    <t>0x20</t>
  </si>
  <si>
    <t>0x21</t>
  </si>
  <si>
    <t>0x22</t>
  </si>
  <si>
    <t>0x23</t>
  </si>
  <si>
    <t>0x24</t>
  </si>
  <si>
    <t>0x25</t>
  </si>
  <si>
    <t>0x26</t>
  </si>
  <si>
    <t>0x27</t>
  </si>
  <si>
    <t>0x28</t>
  </si>
  <si>
    <t>0x29</t>
  </si>
  <si>
    <t>0x2A</t>
  </si>
  <si>
    <t>0x2B</t>
  </si>
  <si>
    <t>0x2C</t>
  </si>
  <si>
    <t>0x2D</t>
  </si>
  <si>
    <t>0x2E</t>
  </si>
  <si>
    <t>0x2F</t>
  </si>
  <si>
    <t>0x30</t>
  </si>
  <si>
    <t>0x31</t>
  </si>
  <si>
    <t>0x32</t>
  </si>
  <si>
    <t>0x33</t>
  </si>
  <si>
    <t>0x34</t>
  </si>
  <si>
    <t>0x35</t>
  </si>
  <si>
    <t>0x36</t>
  </si>
  <si>
    <t>0x37</t>
  </si>
  <si>
    <t>0x38</t>
  </si>
  <si>
    <t>0x39</t>
  </si>
  <si>
    <t>0x3A</t>
  </si>
  <si>
    <t>0x3B</t>
  </si>
  <si>
    <t>0x3C</t>
  </si>
  <si>
    <t>0x3D</t>
  </si>
  <si>
    <t>0x3E</t>
  </si>
  <si>
    <t>0x3F</t>
  </si>
  <si>
    <t>0x40</t>
  </si>
  <si>
    <t>0x41</t>
  </si>
  <si>
    <t>0x42</t>
  </si>
  <si>
    <t>0x43</t>
  </si>
  <si>
    <t>0x44</t>
  </si>
  <si>
    <t>0x45</t>
  </si>
  <si>
    <t>0x46</t>
  </si>
  <si>
    <t>0x47</t>
  </si>
  <si>
    <t>0x48</t>
  </si>
  <si>
    <t>0x49</t>
  </si>
  <si>
    <t>0x4A</t>
  </si>
  <si>
    <t>0x4B</t>
  </si>
  <si>
    <t>0x4C</t>
  </si>
  <si>
    <t>0x4D</t>
  </si>
  <si>
    <t>0x4E</t>
  </si>
  <si>
    <t>0x4F</t>
  </si>
  <si>
    <t>0x50</t>
  </si>
  <si>
    <t>0x51</t>
  </si>
  <si>
    <t>0x52</t>
  </si>
  <si>
    <t>0x53</t>
  </si>
  <si>
    <t>0x54</t>
  </si>
  <si>
    <t>0x55</t>
  </si>
  <si>
    <t>0x56</t>
  </si>
  <si>
    <t>0x57</t>
  </si>
  <si>
    <t>0x58</t>
  </si>
  <si>
    <t>0x59</t>
  </si>
  <si>
    <t>0x5A</t>
  </si>
  <si>
    <t>0x5B</t>
  </si>
  <si>
    <t>0x5C</t>
  </si>
  <si>
    <t>0x5D</t>
  </si>
  <si>
    <t>0x5E</t>
  </si>
  <si>
    <t>0x5F</t>
  </si>
  <si>
    <t>0x60</t>
  </si>
  <si>
    <t>0x61</t>
  </si>
  <si>
    <t>0x62</t>
  </si>
  <si>
    <t>0x63</t>
  </si>
  <si>
    <t>0x64</t>
  </si>
  <si>
    <t>0x65</t>
  </si>
  <si>
    <t>0x66</t>
  </si>
  <si>
    <t>0x67</t>
  </si>
  <si>
    <t>0x68</t>
  </si>
  <si>
    <t>0x69</t>
  </si>
  <si>
    <t>0x6A</t>
  </si>
  <si>
    <t>0x6B</t>
  </si>
  <si>
    <t>0x6C</t>
  </si>
  <si>
    <t>0x6D</t>
  </si>
  <si>
    <t>0x6E</t>
  </si>
  <si>
    <t>0x6F</t>
  </si>
  <si>
    <t>0x70</t>
  </si>
  <si>
    <t>0x71</t>
  </si>
  <si>
    <t>0x72</t>
  </si>
  <si>
    <t>0x73</t>
  </si>
  <si>
    <t>0x74</t>
  </si>
  <si>
    <t>0x75</t>
  </si>
  <si>
    <t>0x76</t>
  </si>
  <si>
    <t>0x77</t>
  </si>
  <si>
    <t>0x78</t>
  </si>
  <si>
    <t>0x79</t>
  </si>
  <si>
    <t>0x7A</t>
  </si>
  <si>
    <t>0x7B</t>
  </si>
  <si>
    <t>0x7C</t>
  </si>
  <si>
    <t>0x7D</t>
  </si>
  <si>
    <t>0x7E</t>
  </si>
  <si>
    <t>0x7F</t>
  </si>
  <si>
    <t>0x80</t>
  </si>
  <si>
    <t>0x81</t>
  </si>
  <si>
    <t>0x82</t>
  </si>
  <si>
    <t>0x83</t>
  </si>
  <si>
    <t>0x84</t>
  </si>
  <si>
    <t>0x85</t>
  </si>
  <si>
    <t>0x86</t>
  </si>
  <si>
    <t>0x87</t>
  </si>
  <si>
    <t>0x88</t>
  </si>
  <si>
    <t>0x89</t>
  </si>
  <si>
    <t>0x8A</t>
  </si>
  <si>
    <t>0x8B</t>
  </si>
  <si>
    <t>0x8C</t>
  </si>
  <si>
    <t>0x8D</t>
  </si>
  <si>
    <t>0x8E</t>
  </si>
  <si>
    <t>0x8F</t>
  </si>
  <si>
    <t>0x90</t>
  </si>
  <si>
    <t>0x91</t>
  </si>
  <si>
    <t>0x92</t>
  </si>
  <si>
    <t>0x93</t>
  </si>
  <si>
    <t>0x94</t>
  </si>
  <si>
    <t>0x95</t>
  </si>
  <si>
    <t>0x96</t>
  </si>
  <si>
    <t>0x97</t>
  </si>
  <si>
    <t>0x98</t>
  </si>
  <si>
    <t>0x99</t>
  </si>
  <si>
    <t>0x9A</t>
  </si>
  <si>
    <t>0x9B</t>
  </si>
  <si>
    <t>0x9C</t>
  </si>
  <si>
    <t>0x9D</t>
  </si>
  <si>
    <t>0x9E</t>
  </si>
  <si>
    <t>0x9F</t>
  </si>
  <si>
    <t>0xA0</t>
  </si>
  <si>
    <t>0xA1</t>
  </si>
  <si>
    <t>0xA2</t>
  </si>
  <si>
    <t>0xA3</t>
  </si>
  <si>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</si>
  <si>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</si>
  <si>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</si>
  <si>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</si>
  <si>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</si>
  <si>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</si>
  <si>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</si>
  <si>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</si>
  <si>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</si>
  <si>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</si>
  <si>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</si>
  <si>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</si>
  <si>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</si>
  <si>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</si>
  <si>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</si>
  <si>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</si>
  <si>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</si>
  <si>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</si>
  <si>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</si>
  <si>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</si>
  <si>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</si>
  <si>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</si>
  <si>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</si>
  <si>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</si>
  <si>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</si>
  <si>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</si>
  <si>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</si>
  <si>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</si>
  <si>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</si>
  <si>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</si>
  <si>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</si>
  <si>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</si>
  <si>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</si>
  <si>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0xC5</t>
  </si>
  <si>
    <t>0xC6</t>
  </si>
  <si>
    <t>0xC7</t>
  </si>
  <si>
    <t>0xC8</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</si>
  <si>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</si>
  <si>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</si>
  <si>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</si>
  <si>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</si>
  <si>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</si>
  <si>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</si>
  <si>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</si>
  <si>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</si>
  <si>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</si>
  <si>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</si>
  <si>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</si>
  <si>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</si>
  <si>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</si>
  <si>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</si>
  <si>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</si>
  <si>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</si>
  <si>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</si>
  <si>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</si>
  <si>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</si>
  <si>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</si>
  <si>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</si>
  <si>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</si>
  <si>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</si>
  <si>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</si>
  <si>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</si>
  <si>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</si>
  <si>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</si>
  <si>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</si>
  <si>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</si>
  <si>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</si>
  <si>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</si>
  <si>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</si>
  <si>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</si>
  <si>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</si>
  <si>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</si>
  <si>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</si>
  <si>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</si>
  <si>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</si>
  <si>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</si>
  <si>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Switch Type</t>
  </si>
  <si>
    <t>Duplicate WWN</t>
  </si>
  <si>
    <t>Bind</t>
  </si>
  <si>
    <t>Type</t>
  </si>
  <si>
    <t>ficon</t>
  </si>
  <si>
    <t>open</t>
  </si>
  <si>
    <t>Insistent DID</t>
  </si>
  <si>
    <t>ICL Description</t>
  </si>
  <si>
    <t>SLOT 7</t>
  </si>
  <si>
    <t>SLOT 8</t>
  </si>
  <si>
    <t>Port Name</t>
  </si>
  <si>
    <t>Fabric Principal Priority</t>
  </si>
  <si>
    <t>Fab Principal</t>
  </si>
  <si>
    <t>0xF0</t>
  </si>
  <si>
    <t>0xF1</t>
  </si>
  <si>
    <t>0xF2</t>
  </si>
  <si>
    <t>0xF3</t>
  </si>
  <si>
    <t>0xF4</t>
  </si>
  <si>
    <t>0xF5</t>
  </si>
  <si>
    <t>0xF6</t>
  </si>
  <si>
    <t>0xF7</t>
  </si>
  <si>
    <t>0xF8</t>
  </si>
  <si>
    <t>0xF9</t>
  </si>
  <si>
    <t>0xFA</t>
  </si>
  <si>
    <t>0xFB</t>
  </si>
  <si>
    <t>0xFC</t>
  </si>
  <si>
    <t>0xFD</t>
  </si>
  <si>
    <t>0xFE</t>
  </si>
  <si>
    <t>0xFF</t>
  </si>
  <si>
    <t>Index</t>
  </si>
  <si>
    <t>Routing Policy</t>
  </si>
  <si>
    <t>aptpolicy</t>
  </si>
  <si>
    <t>DBR</t>
  </si>
  <si>
    <t>EBR</t>
  </si>
  <si>
    <t>SLOT 5</t>
  </si>
  <si>
    <t>SLOT 6</t>
  </si>
  <si>
    <t>Enable CUP</t>
  </si>
  <si>
    <t>FICON only. Must be "Yes" if CUP is defined on any channel connected to this switch.</t>
  </si>
  <si>
    <t>Port Name Format</t>
  </si>
  <si>
    <t>Only applicable if "Port Name" is "dynamic". Search the FOS Admin Guide for "Dynamic Port Name" for an explanation of "dynamic" or the Rest API Guide for "dynamic-portname-format".</t>
  </si>
  <si>
    <t>ge9</t>
  </si>
  <si>
    <t>ge8</t>
  </si>
  <si>
    <t>ge7</t>
  </si>
  <si>
    <t>ge6</t>
  </si>
  <si>
    <t>ge5</t>
  </si>
  <si>
    <t>ge4</t>
  </si>
  <si>
    <t>ge3</t>
  </si>
  <si>
    <t>ge2</t>
  </si>
  <si>
    <t>ge1</t>
  </si>
  <si>
    <t>ge0</t>
  </si>
  <si>
    <t>CLI</t>
  </si>
  <si>
    <t>Term</t>
  </si>
  <si>
    <t>Description</t>
  </si>
  <si>
    <t>DO NOT CHANGE. Since port addresses can change and the port numbering scheme can change based on switch type, the port index gives FOS a consistent way to reference physical ports.</t>
  </si>
  <si>
    <t>DO NOT CHANGE. The link address is only relevant to mainframe SAN administrators. This field is automatically calculated. The most significant byte is the DID in hex. The least significant byte is the port address.</t>
  </si>
  <si>
    <t>This is a comment field only. When using create_swconfig.py, it is pre-filled with RNID data for mainframes or a hash of name server and FDMI information for open systems.</t>
  </si>
  <si>
    <t>Low Qos VC, Med Qos VC, and High Qos VC</t>
  </si>
  <si>
    <t>DO NOT CHANGE. The port number without the slot indicator. Note that the slot number is determined by the sheet header.</t>
  </si>
  <si>
    <t>Example: Set the long-distance mode on a port to automatically calculate required buffer credits for 100 Km with the default frame size and VC link init 1 using the port number.</t>
  </si>
  <si>
    <t>portcfglongdistance $p LS 1 -distance 100</t>
  </si>
  <si>
    <t>Example: Set a port for use as an E-Port only using the port index.</t>
  </si>
  <si>
    <t>portcfgeport -i $i 2</t>
  </si>
  <si>
    <t>PBR</t>
  </si>
  <si>
    <t>Enable/Disable</t>
  </si>
  <si>
    <t>Typically blank (empty cell) which indicates no change. Chassis are only disabled for service actions.</t>
  </si>
  <si>
    <t>CLI commands to send via SSH. Typical used to add licenses. See FOS command "license". To modify the management interface IP address,  use the FOS command "ipaddrset".</t>
  </si>
  <si>
    <t>Typically blank (empty cell) which indicates no change. If the chassis was disabled to execute CLI commands, then this is typically "Enable". Keep in mind, you can't enable a switch or ports when the chassis is disabled.</t>
  </si>
  <si>
    <t>Chassis Name</t>
  </si>
  <si>
    <t>GSH_Chassis</t>
  </si>
  <si>
    <t>Customer defined user friendly name.</t>
  </si>
  <si>
    <t>FCR</t>
  </si>
  <si>
    <t>Fibre Channel Routing (FCR). This is a licensed feature that allows devices in two different SANs to communicate without merging the fabrics. Leave blank for no change.</t>
  </si>
  <si>
    <t>Message Of The Day</t>
  </si>
  <si>
    <t>"of the day" is a misnomer. This message is displayed when logging into the chassis via SSH (CLI) regardless of the date. Typically not used. When used, customers usually put site location and service contact information here. Maximum length is 1022 characters. Use a plain text editor so that formatted text can be copied and pasted into the cell.</t>
  </si>
  <si>
    <t>Shell Timeout</t>
  </si>
  <si>
    <t>Bash timeout value in seconds. Leave blank for no change. Range: 0-99999. Set to 0 disables bash timeout. FOS default: 0</t>
  </si>
  <si>
    <t>Session Timeout</t>
  </si>
  <si>
    <t>Session timeout value in seconds. Leave blank for no change. Range: 0-99999. Set to 0 disables SSH session timeout. Recommended is 60.</t>
  </si>
  <si>
    <t>TCP Timeout Level</t>
  </si>
  <si>
    <t>Management interface timeout level. Leave blank for no change. Range: 1-5. FOS default and recommended: 5</t>
  </si>
  <si>
    <t>Max REST Sessions</t>
  </si>
  <si>
    <t>Maximum number of REST sessions allowed. FOS default and recommended: 3.</t>
  </si>
  <si>
    <t>Configure Switches</t>
  </si>
  <si>
    <t>Typically "Yes". Chassis processing stops and processing of Switch_x sheets begins.</t>
  </si>
  <si>
    <t>Required. FIDs are necessary for FOS to differentiate between logical switches in a chassis. Each logical switch in a chassis must have a unique FID and all logical switches in the same fabric must have the same FID. A FID can be any integer in the range 1 - 128. The recommended best practice is to use FID 128 for the default logical switch. Mainframe: not used in HCD or elsewhere but may appear in error messages.</t>
  </si>
  <si>
    <t>Typically blank (empty cell) which indicates no change. Newly created logical switches are disabled by default. Switches are usually only disabled for service actions.</t>
  </si>
  <si>
    <t>Required unless modifying an existing switch. Empty indicates no change. DID must be in the range 1-0xEF. All switches in a fabric must have a unique DID. Mainframe: The DID is the high byte of the 2-byte address. The recommended best practice is to set the DID to match the Switch ID in HCD.</t>
  </si>
  <si>
    <t>Best practice is "Yes". If the switch type is "ficon", insistent DID will be set regardless of what what is entered here.</t>
  </si>
  <si>
    <t>CLI commands to send via SSH. Typically only used for service actions.</t>
  </si>
  <si>
    <t>Default_Fab_128</t>
  </si>
  <si>
    <t>The recommended best practice is to name fabrics. Mainframe: not used in HCD or elsewhere but may appear in error messages.</t>
  </si>
  <si>
    <t>Default_Switch_FID_128</t>
  </si>
  <si>
    <t>User-friendly switch name. Best practice is to name all logical switches. Mainframe: not used in HCD or elsewhere but may appear in error messages.</t>
  </si>
  <si>
    <t>Fabric Principal</t>
  </si>
  <si>
    <t>In fabrics consisting of mixed switch types, it is common to pick the switch on the most resilient and newest chassis. Moot in single switch fabrics or fabrics consisting of all the same switch types.</t>
  </si>
  <si>
    <t>Only relevant if Fabric Principal Enable is "Yes". See FOS CLI fabricprincipal -priority for details. Best practice is 0x0A</t>
  </si>
  <si>
    <t>Typically "No". Select "Yes" to share ISLs in a base switch. This should also be "Yes" when creating a base switch.</t>
  </si>
  <si>
    <t>Same as "Message Of The Day" on the "Chassis" sheet except &lt;LF&gt; is not permitted. This message is displayed when logging into an individual logical switches (setcontext) via the CLI.</t>
  </si>
  <si>
    <t>Defines the switch type. Mainframe and AIX should always be "ficon".</t>
  </si>
  <si>
    <t xml:space="preserve">Should be "Yes" for mainframe and AIX. Should be "No" for all else. Exceptions are for those with expert knowledge. </t>
  </si>
  <si>
    <t>By default, FICON switches are created with DBR. All other switch types use EBR as the default routing policy. For mainframe, FICON, set this to EBR is if FiDR is desired.</t>
  </si>
  <si>
    <t>Enable</t>
  </si>
  <si>
    <t>Typically "Enable".  Typical placed before "Configure Ports" because ports can only be enabled if the switch is enabled.</t>
  </si>
  <si>
    <t>Configure Ports</t>
  </si>
  <si>
    <t>Typically "Yes". Switch_x processing stops and processing of Slot x sheets begins.</t>
  </si>
  <si>
    <t>Step 1</t>
  </si>
  <si>
    <t>Make a copy of this workbook</t>
  </si>
  <si>
    <t>Step 2</t>
  </si>
  <si>
    <t>Define the chassis parameters on the "Chassis" sheet.</t>
  </si>
  <si>
    <t>Step 3</t>
  </si>
  <si>
    <t>Define the switch(es) using the "Switch_x" sheet. Make copies of this sheet to define multiple switches. All sheet names beginning with "Switch_" are assumed to be a switch configuration worksheet. The "x" in tab name is only used so that Excel has unique sheet names. Typically, x is replaced with the FID number or user-friendly switch name, but it is not used by scripts that read this workbook. It can be whatever you want. Keep in mind that most of the switch configuration items require  the switch to be disabled. When switches are newly created, they are disabled.</t>
  </si>
  <si>
    <t>Step 4</t>
  </si>
  <si>
    <t>Fill out the "Slot 0" Worksheet. See the "Slot_x_Terms" tab for details.  Only ports with a FID that matches a FID on a “Switch_x” worksheet are acted on. All other ports are ignored.</t>
  </si>
  <si>
    <t>Command Line Options</t>
  </si>
  <si>
    <t>-force</t>
  </si>
  <si>
    <t>-cli</t>
  </si>
  <si>
    <t>Best Effort</t>
  </si>
  <si>
    <t>A best effort algorithm is applied. Errors are reported as they are encountered, but processing continues.</t>
  </si>
  <si>
    <t>FICON Tip</t>
  </si>
  <si>
    <t>When possible, the channel and control units should all be on different Virtual Channels (VC) when cascaded. The default is the meduim Quality of Service (QoS) zone. Typically, the default medium QoS zone is used. Setting up QoS zones is independant of anything associated with this workbook. The VCs and QoS zones are provided to help channel path planners balance traffic across VCs.</t>
  </si>
  <si>
    <t>Important Notes</t>
  </si>
  <si>
    <t>Hidden</t>
  </si>
  <si>
    <t>Hidden sheets, rows, and columns are not read. Actions are only taken on cells read. Ports on a "Slot x" sheet that do not have a corresponding "Switch_x" sheet are ignored. If the intent is to make changes to the chassis only, then hide all "Switch_x" sheets.</t>
  </si>
  <si>
    <t>Empty Cell</t>
  </si>
  <si>
    <t>Rows whose "Area" is empty (cleared) are ignored. An empty parameter indicates that no change should be made to the existing parameter.</t>
  </si>
  <si>
    <t>Order</t>
  </si>
  <si>
    <t>Processing begins with the "Chassis" worksheetsheet. “Switch_x” worksheets are only processed when "Configure Switches" is "Yes" on the "Chassis sheet. All items on the chassis sheet are processed in the order they appear, beginning with row 2.</t>
  </si>
  <si>
    <t>Once “Configure Switches” is encountered on the chassis worksheet, and the value is “Yes”, all switches are created and ports moved to the assigned switch. If a port on any of the “Slot x” worksheets does not have a corresponding “Sheet_x” worksheet, it is left untouched. If a port is found in a logical switch that it doesn’t belong to and there is no corresponding “Switch_x” worksheet, it is moved to the default FID. Since a port must be disabled to move it to another logical switch, F-Ports, ports that are online to a device, are only moved if -force is specified. -force is not required to move E-Ports, switch-to-switch ports. E-Ports are decommissioned, then moved.</t>
  </si>
  <si>
    <t>“Switch_x" sheets are then processed by row order, same as "Chassis. "Slot x" sheets are only processed when "Configure Ports" is "Yes".</t>
  </si>
  <si>
    <t>For efficiency, all port actions are processed as a group. “Start Enable” is processed for all ports, followed by “CLI”, then “Reserve”, then “Port Name”,  then “End Enable”. If a failure is encountered, each port is then processed one at a time for the action that failed on the group of ports. Keep in mind that a switch cannot be enabled on a disabled chassis and ports cannot be enabled on a disabled switch.</t>
  </si>
  <si>
    <t>CLI Variables</t>
  </si>
  <si>
    <t>$cwwn</t>
  </si>
  <si>
    <t>Replaced with the chassis WWN</t>
  </si>
  <si>
    <t>$license</t>
  </si>
  <si>
    <t>Replaced with the WWN used for license generation.</t>
  </si>
  <si>
    <t>$swwn</t>
  </si>
  <si>
    <t>Replaced with the the logical switch WWN</t>
  </si>
  <si>
    <t>$p</t>
  </si>
  <si>
    <t>Replaced with the port number</t>
  </si>
  <si>
    <t>$i</t>
  </si>
  <si>
    <t>Replaced with the port index</t>
  </si>
  <si>
    <t>$lwwn</t>
  </si>
  <si>
    <t>Replaced with the login WWN. If there are multiple logins, the command is repeated for each login.</t>
  </si>
  <si>
    <t>The domain ID in hex. This must match the domain ID used on the "Switch_x" sheets for the FID. When using "=" to use the DID on the switch sheet, "0x" and leading "0", if any, must be removed. The example "Slot 0" illustrates how to do this in cell C131. From the bottom up, the remaining ports have been prefilled to match the DID from the previous port.</t>
  </si>
  <si>
    <t>Rarely changed. Should only be changed under the guidance of someone with expert knowledge of FICON link addressing. The intended purpose is for setting non-standard link addresses for mainframe environments. When modifying the link addresses, keep in mind that the mainframe I/O subsystem does not support addresses greater than the maximum number of ports supported by the switch.</t>
  </si>
  <si>
    <t>This is the Fabric ID of the corresponding switch on one of the "Switch_x" sheets. If there is no corresponding FID number on a "Switch_x" sheet, the port is ignored (no changes are made to the port). Similar to DID, but a simple "=" will do. See cell G131 on the "Slot 0" worksheet.</t>
  </si>
  <si>
    <t>Start Enable</t>
  </si>
  <si>
    <t>Typically clear (empty cell). Usually only used for service actions. "Disable" is only executed with -force. By default, all newly added ports are disabled. When "Disable" or "Persistent Disable" is selected, that is the first action executed. "Enable" is only valid if the switch is enabled.</t>
  </si>
  <si>
    <t>CLI commands are executed via an SSH session. Use multiple rows with "CLI" in column A or put multiple commands in the same cell on different lines. Commands are executed in the order read. Commands are processed as is. Minimal response evaluation is performed. Typically only used for long distance settings or to lock down a port as E-Port.</t>
  </si>
  <si>
    <t>End Enable</t>
  </si>
  <si>
    <t>Typically "Enable". Executed after all other actions are completed.</t>
  </si>
  <si>
    <t>Reserve</t>
  </si>
  <si>
    <t>Typically "Yes". Applicable to fixed port switches only. Reserves a port license for the port.</t>
  </si>
  <si>
    <t>Sets the port name. Only used when "Port Name" on the corresponding Switch_x worksheet is "off", "ficon -n", or "open -n". Since no changes to the port name are made if the cell is empty, this means there is no way to clear out old port names using this script.</t>
  </si>
  <si>
    <t>DO NOT CHANGE. This is the virtual channel that will be used for the port. Not used by switch_config.py. Useful for B/W planning and evaluating ISL congestion.</t>
  </si>
  <si>
    <t>Disables are only performed when -force is specified. Keep in mind the CLI is not interpreted. Although not recommended, you can disabled something with a CLI command.</t>
  </si>
  <si>
    <t>CLI is only executed if -cli is specified. CLI is always executed when -cli is specified. CLI commands are executed as is. There is no ability to respond to interactive CLI commands. For error reporting purposes, some basic parsing of CLI responses are performed, but administrators should be aware that several error conditions are not processed. This means you can do whatever you want with CLI commands. Just keep in mind that just because you can do whatever you want, that doesn't mean you want to do whatever you can do.</t>
  </si>
  <si>
    <t>"first-flogi-or-first-fdisc-precedence" (default): The first FLOGI/FDISC are accepted. Subsequent logins for the same WWN are rejected elsewhere in the fabric. Use this for mainframe. Open may use this as well, but that depends on how storage fails-over. "second-flogi-or-secondfdisc-precedence": the second FLOGI/FDISC takes precedence, so the login where the first FLOGI/FDISC for the WWN occured is rejected. This may be used by some storage vendors for automatic fail-over. "first-flogi-or-second-fdisc-precedence": First FLOGI takes precedence but second FDISC takes precedence. This is the most common setting for open systems automatic storage fail-over. This is what allows the storage controller to present WWNs on different ports when there is a port failure. Check with your storage vendor if your not sure.</t>
  </si>
  <si>
    <t>open: No switch wide port naming. Port names may be assigned using the "Slot x" worksheets. Maximum characters: 128. ficon: Same as "open", but characters are limited to 24 characters. index: Default. The port name corresponds to the port index. fdmi: The port name corresponds to the attached FDMI host name. Do not use for FICON. dynamic: The port name corresponds to the format defined by "Port Name Format". For FICON, this field is usually either "ficon" or empty.</t>
  </si>
  <si>
    <t>SCC</t>
  </si>
  <si>
    <t>Typically only used for FICON. An SCC policy is required for FICON. For FICON fabrics with multiple switches, cascaded, it is common for SAN administrators to wait until all switches are connected before implementing an SCC policy. Enter * for the WWNs of all switches in the fabric. Use a CSV list to manually add additional WWNs. The existing SCC policy is added to only. For more granualar SCC settings, use scc_policy.py.</t>
  </si>
  <si>
    <t>FICON Zone</t>
  </si>
  <si>
    <t>FICON only. Ignored if "Switch Type" is not "ficon". Launches mf_zone.py followed by zone_config.py. "all" is the most common zoning method for FICON. Execute "python  mf_zone.py -eh" for an explanation of the different zoning options. Use mf_zone.py independantly to zone by channel.</t>
  </si>
  <si>
    <t>Intended for use with switch_config.py. See "switch_config_example.xlsx".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</si>
</sst>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sz val="11"/>
      <color theme="1"/>
      <name val="Courier New"/>
      <family val="3"/>
    </font>
    <font>
      <sz val="11"/>
      <color rgb="FF000000"/>
      <name val="Calibri"/>
      <family val="2"/>
    </font>
  </fonts>
  <fills count="5">
    <fill>
      <patternFill patternType="none"/>
    </fill>
    <fill>
      <patternFill patternType="gray125"/>
    </fill>
    <fill>
      <patternFill patternType="solid">
        <fgColor rgb="FFC00000"/>
        <bgColor indexed="64"/>
      </patternFill>
    </fill>
    <fill>
      <patternFill patternType="solid">
        <fgColor theme="4" tint="0.79998168889431442"/>
        <bgColor indexed="64"/>
      </patternFill>
    </fill>
    <fill>
      <patternFill patternType="solid">
        <fgColor theme="9" tint="0.599963377788628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medium">
        <color indexed="64"/>
      </left>
      <right/>
      <top/>
      <bottom/>
      <diagonal/>
    </border>
  </borders>
  <cellStyleXfs count="1">
    <xf numFmtId="0" fontId="0" fillId="0" borderId="0"/>
  </cellStyleXfs>
  <cellXfs count="39">
    <xf numFmtId="0" fontId="0" fillId="0" borderId="0" xfId="0"/>
    <xf numFmtId="0" fontId="0" fillId="0" borderId="0" xfId="0" applyAlignment="1">
      <alignment horizontal="center"/>
    </xf>
    <xf numFmtId="0" fontId="3" fillId="0" borderId="0" xfId="0" applyFont="1"/>
    <xf numFmtId="0" fontId="0" fillId="0" borderId="0" xfId="0" applyAlignment="1">
      <alignment horizontal="center" vertical="top"/>
    </xf>
    <xf numFmtId="0" fontId="2" fillId="0" borderId="0" xfId="0" applyFont="1" applyAlignment="1">
      <alignment horizontal="left" vertical="top"/>
    </xf>
    <xf numFmtId="0" fontId="0" fillId="0" borderId="0" xfId="0"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vertical="top"/>
    </xf>
    <xf numFmtId="0" fontId="3" fillId="3" borderId="1" xfId="0" applyFont="1" applyFill="1" applyBorder="1" applyAlignment="1">
      <alignment horizontal="left" vertical="top"/>
    </xf>
    <xf numFmtId="0" fontId="0" fillId="4" borderId="1" xfId="0" applyFill="1" applyBorder="1" applyAlignment="1">
      <alignment horizontal="center"/>
    </xf>
    <xf numFmtId="0" fontId="0" fillId="4" borderId="1" xfId="0" applyFill="1" applyBorder="1" applyAlignment="1">
      <alignment horizontal="center" vertical="top"/>
    </xf>
    <xf numFmtId="0" fontId="0" fillId="4" borderId="1" xfId="0" applyFill="1" applyBorder="1" applyAlignment="1">
      <alignment horizontal="left" vertical="top"/>
    </xf>
    <xf numFmtId="0" fontId="0" fillId="0" borderId="0" xfId="0" applyAlignment="1">
      <alignment horizontal="center" vertical="top" wrapText="1"/>
    </xf>
    <xf numFmtId="0" fontId="0" fillId="0" borderId="2" xfId="0" applyBorder="1" applyAlignment="1">
      <alignment horizontal="center" vertical="top" wrapText="1"/>
    </xf>
    <xf numFmtId="0" fontId="2" fillId="0" borderId="0" xfId="0" applyFont="1" applyAlignment="1">
      <alignment horizontal="center" vertical="top"/>
    </xf>
    <xf numFmtId="0" fontId="2" fillId="0" borderId="0" xfId="0" applyFont="1" applyAlignment="1">
      <alignment horizontal="center" vertical="center"/>
    </xf>
    <xf numFmtId="0" fontId="0" fillId="0" borderId="0" xfId="0" applyAlignment="1">
      <alignment vertical="top" wrapText="1"/>
    </xf>
    <xf numFmtId="0" fontId="0" fillId="3" borderId="1" xfId="0" applyFill="1" applyBorder="1" applyAlignment="1">
      <alignment horizontal="center" vertical="center"/>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horizontal="left"/>
    </xf>
    <xf numFmtId="0" fontId="0" fillId="4" borderId="0" xfId="0" applyFill="1" applyAlignment="1">
      <alignment horizontal="center"/>
    </xf>
    <xf numFmtId="0" fontId="0" fillId="3" borderId="0" xfId="0" applyFill="1" applyAlignment="1">
      <alignment horizontal="center" vertical="center"/>
    </xf>
    <xf numFmtId="0" fontId="2" fillId="0" borderId="0" xfId="0" applyFont="1" applyAlignment="1">
      <alignment vertical="top" wrapText="1"/>
    </xf>
    <xf numFmtId="0" fontId="4" fillId="0" borderId="0" xfId="0" applyFont="1" applyAlignment="1">
      <alignment vertical="top" wrapText="1"/>
    </xf>
    <xf numFmtId="0" fontId="0" fillId="0" borderId="1" xfId="0" applyBorder="1" applyAlignment="1">
      <alignment horizontal="left" vertical="top" wrapText="1"/>
    </xf>
    <xf numFmtId="3" fontId="0" fillId="0" borderId="1" xfId="0" applyNumberFormat="1" applyBorder="1" applyAlignment="1">
      <alignment horizontal="center" vertical="top" wrapText="1"/>
    </xf>
    <xf numFmtId="0" fontId="5" fillId="0" borderId="0" xfId="0" applyFont="1" applyAlignment="1">
      <alignment horizontal="center" vertical="top" wrapText="1"/>
    </xf>
    <xf numFmtId="49" fontId="0" fillId="0" borderId="0" xfId="0" applyNumberFormat="1" applyAlignment="1">
      <alignment vertical="top" wrapText="1"/>
    </xf>
    <xf numFmtId="0" fontId="2" fillId="0" borderId="0" xfId="0" applyFont="1" applyAlignment="1">
      <alignment vertical="top" wrapText="1"/>
    </xf>
    <xf numFmtId="0" fontId="0" fillId="0" borderId="0" xfId="0" applyAlignment="1">
      <alignment vertical="top" wrapText="1"/>
    </xf>
    <xf numFmtId="0" fontId="2" fillId="0" borderId="3" xfId="0" applyFont="1" applyBorder="1" applyAlignment="1">
      <alignment horizontal="left" vertical="center"/>
    </xf>
    <xf numFmtId="0" fontId="0" fillId="0" borderId="0" xfId="0" applyAlignment="1">
      <alignment horizontal="left"/>
    </xf>
    <xf numFmtId="0" fontId="1" fillId="2" borderId="4" xfId="0" applyFont="1" applyFill="1" applyBorder="1" applyAlignment="1">
      <alignment horizontal="center"/>
    </xf>
    <xf numFmtId="0" fontId="1" fillId="2" borderId="0" xfId="0" applyFont="1" applyFill="1" applyAlignment="1">
      <alignment horizontal="center"/>
    </xf>
    <xf numFmtId="0" fontId="0" fillId="0" borderId="0" xfId="0"/>
    <xf numFmtId="0" fontId="2"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E5C2-4F9F-40A2-B63F-2406B9E55943}">
  <dimension ref="A1:B46"/>
  <sheetViews>
    <sheetView tabSelected="1" zoomScaleNormal="100" workbookViewId="0">
      <selection sqref="A1:B1"/>
    </sheetView>
  </sheetViews>
  <sheetFormatPr defaultRowHeight="15" x14ac:dyDescent="0.25"/>
  <cols>
    <col min="1" max="1" width="10.5703125" style="16" customWidth="1"/>
    <col min="2" max="2" width="78.5703125" style="16" customWidth="1"/>
  </cols>
  <sheetData>
    <row r="1" spans="1:2" ht="15" customHeight="1" x14ac:dyDescent="0.25">
      <c r="A1" s="32" t="s">
        <v>430</v>
      </c>
      <c r="B1" s="32"/>
    </row>
    <row r="3" spans="1:2" x14ac:dyDescent="0.25">
      <c r="A3" s="31" t="s">
        <v>372</v>
      </c>
      <c r="B3" s="32"/>
    </row>
    <row r="4" spans="1:2" x14ac:dyDescent="0.25">
      <c r="A4" s="32" t="s">
        <v>373</v>
      </c>
      <c r="B4" s="32"/>
    </row>
    <row r="6" spans="1:2" x14ac:dyDescent="0.25">
      <c r="A6" s="31" t="s">
        <v>374</v>
      </c>
      <c r="B6" s="32"/>
    </row>
    <row r="7" spans="1:2" x14ac:dyDescent="0.25">
      <c r="A7" s="32" t="s">
        <v>375</v>
      </c>
      <c r="B7" s="32"/>
    </row>
    <row r="9" spans="1:2" x14ac:dyDescent="0.25">
      <c r="A9" s="31" t="s">
        <v>376</v>
      </c>
      <c r="B9" s="32"/>
    </row>
    <row r="10" spans="1:2" ht="90" customHeight="1" x14ac:dyDescent="0.25">
      <c r="A10" s="32" t="s">
        <v>377</v>
      </c>
      <c r="B10" s="32"/>
    </row>
    <row r="12" spans="1:2" x14ac:dyDescent="0.25">
      <c r="A12" s="31" t="s">
        <v>378</v>
      </c>
      <c r="B12" s="32"/>
    </row>
    <row r="13" spans="1:2" ht="30" customHeight="1" x14ac:dyDescent="0.25">
      <c r="A13" s="32" t="s">
        <v>379</v>
      </c>
      <c r="B13" s="32"/>
    </row>
    <row r="15" spans="1:2" ht="14.45" customHeight="1" x14ac:dyDescent="0.25">
      <c r="A15" s="31" t="s">
        <v>380</v>
      </c>
      <c r="B15" s="32"/>
    </row>
    <row r="16" spans="1:2" ht="45" x14ac:dyDescent="0.25">
      <c r="A16" s="30" t="s">
        <v>381</v>
      </c>
      <c r="B16" s="16" t="s">
        <v>422</v>
      </c>
    </row>
    <row r="18" spans="1:2" ht="105" x14ac:dyDescent="0.25">
      <c r="A18" s="30" t="s">
        <v>382</v>
      </c>
      <c r="B18" s="16" t="s">
        <v>423</v>
      </c>
    </row>
    <row r="19" spans="1:2" x14ac:dyDescent="0.25">
      <c r="A19" s="30"/>
    </row>
    <row r="20" spans="1:2" x14ac:dyDescent="0.25">
      <c r="A20" s="30"/>
    </row>
    <row r="21" spans="1:2" x14ac:dyDescent="0.25">
      <c r="A21" s="31" t="s">
        <v>383</v>
      </c>
      <c r="B21" s="31"/>
    </row>
    <row r="22" spans="1:2" ht="30" customHeight="1" x14ac:dyDescent="0.25">
      <c r="A22" s="32" t="s">
        <v>384</v>
      </c>
      <c r="B22" s="32"/>
    </row>
    <row r="24" spans="1:2" x14ac:dyDescent="0.25">
      <c r="A24" s="31" t="s">
        <v>385</v>
      </c>
      <c r="B24" s="32"/>
    </row>
    <row r="25" spans="1:2" ht="59.1" customHeight="1" x14ac:dyDescent="0.25">
      <c r="A25" s="32" t="s">
        <v>386</v>
      </c>
      <c r="B25" s="32"/>
    </row>
    <row r="27" spans="1:2" x14ac:dyDescent="0.25">
      <c r="A27" s="31" t="s">
        <v>387</v>
      </c>
      <c r="B27" s="32"/>
    </row>
    <row r="28" spans="1:2" ht="60" x14ac:dyDescent="0.25">
      <c r="A28" s="16" t="s">
        <v>388</v>
      </c>
      <c r="B28" s="16" t="s">
        <v>389</v>
      </c>
    </row>
    <row r="30" spans="1:2" ht="30" x14ac:dyDescent="0.25">
      <c r="A30" s="16" t="s">
        <v>390</v>
      </c>
      <c r="B30" s="16" t="s">
        <v>391</v>
      </c>
    </row>
    <row r="32" spans="1:2" ht="45" x14ac:dyDescent="0.25">
      <c r="A32" s="16" t="s">
        <v>392</v>
      </c>
      <c r="B32" s="16" t="s">
        <v>393</v>
      </c>
    </row>
    <row r="34" spans="1:2" ht="120" x14ac:dyDescent="0.25">
      <c r="B34" s="16" t="s">
        <v>394</v>
      </c>
    </row>
    <row r="36" spans="1:2" ht="30" x14ac:dyDescent="0.25">
      <c r="B36" s="16" t="s">
        <v>395</v>
      </c>
    </row>
    <row r="38" spans="1:2" ht="75" x14ac:dyDescent="0.25">
      <c r="B38" s="16" t="s">
        <v>396</v>
      </c>
    </row>
    <row r="40" spans="1:2" x14ac:dyDescent="0.25">
      <c r="A40" s="31" t="s">
        <v>397</v>
      </c>
      <c r="B40" s="31"/>
    </row>
    <row r="41" spans="1:2" x14ac:dyDescent="0.25">
      <c r="A41" s="16" t="s">
        <v>398</v>
      </c>
      <c r="B41" s="16" t="s">
        <v>399</v>
      </c>
    </row>
    <row r="42" spans="1:2" x14ac:dyDescent="0.25">
      <c r="A42" s="16" t="s">
        <v>400</v>
      </c>
      <c r="B42" s="16" t="s">
        <v>401</v>
      </c>
    </row>
    <row r="43" spans="1:2" x14ac:dyDescent="0.25">
      <c r="A43" s="16" t="s">
        <v>402</v>
      </c>
      <c r="B43" s="16" t="s">
        <v>403</v>
      </c>
    </row>
    <row r="44" spans="1:2" x14ac:dyDescent="0.25">
      <c r="A44" s="16" t="s">
        <v>404</v>
      </c>
      <c r="B44" s="16" t="s">
        <v>405</v>
      </c>
    </row>
    <row r="45" spans="1:2" x14ac:dyDescent="0.25">
      <c r="A45" s="16" t="s">
        <v>406</v>
      </c>
      <c r="B45" s="16" t="s">
        <v>407</v>
      </c>
    </row>
    <row r="46" spans="1:2" ht="30" x14ac:dyDescent="0.25">
      <c r="A46" s="16" t="s">
        <v>408</v>
      </c>
      <c r="B46" s="16" t="s">
        <v>409</v>
      </c>
    </row>
  </sheetData>
  <mergeCells count="16">
    <mergeCell ref="A9:B9"/>
    <mergeCell ref="A1:B1"/>
    <mergeCell ref="A3:B3"/>
    <mergeCell ref="A4:B4"/>
    <mergeCell ref="A6:B6"/>
    <mergeCell ref="A7:B7"/>
    <mergeCell ref="A24:B24"/>
    <mergeCell ref="A25:B25"/>
    <mergeCell ref="A27:B27"/>
    <mergeCell ref="A40:B40"/>
    <mergeCell ref="A10:B10"/>
    <mergeCell ref="A12:B12"/>
    <mergeCell ref="A13:B13"/>
    <mergeCell ref="A15:B15"/>
    <mergeCell ref="A21:B21"/>
    <mergeCell ref="A22:B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57F4D-8A70-4998-AAC7-94CE60AD2F9E}">
  <dimension ref="A1:B35"/>
  <sheetViews>
    <sheetView topLeftCell="A31" workbookViewId="0">
      <selection activeCell="H21" sqref="H21"/>
    </sheetView>
  </sheetViews>
  <sheetFormatPr defaultRowHeight="15" x14ac:dyDescent="0.25"/>
  <cols>
    <col min="1" max="1" width="18.7109375" style="16" customWidth="1"/>
    <col min="2" max="2" width="62.7109375" style="16" customWidth="1"/>
  </cols>
  <sheetData>
    <row r="1" spans="1:2" x14ac:dyDescent="0.25">
      <c r="A1" s="25" t="s">
        <v>318</v>
      </c>
      <c r="B1" s="25" t="s">
        <v>319</v>
      </c>
    </row>
    <row r="3" spans="1:2" ht="30" x14ac:dyDescent="0.25">
      <c r="A3" s="16" t="s">
        <v>0</v>
      </c>
      <c r="B3" s="16" t="s">
        <v>324</v>
      </c>
    </row>
    <row r="5" spans="1:2" ht="90" x14ac:dyDescent="0.25">
      <c r="A5" s="16" t="s">
        <v>7</v>
      </c>
      <c r="B5" s="16" t="s">
        <v>410</v>
      </c>
    </row>
    <row r="7" spans="1:2" ht="105" x14ac:dyDescent="0.25">
      <c r="A7" s="16" t="s">
        <v>8</v>
      </c>
      <c r="B7" s="16" t="s">
        <v>411</v>
      </c>
    </row>
    <row r="9" spans="1:2" ht="45" x14ac:dyDescent="0.25">
      <c r="A9" s="16" t="s">
        <v>296</v>
      </c>
      <c r="B9" s="16" t="s">
        <v>320</v>
      </c>
    </row>
    <row r="11" spans="1:2" ht="60" x14ac:dyDescent="0.25">
      <c r="A11" s="16" t="s">
        <v>6</v>
      </c>
      <c r="B11" s="16" t="s">
        <v>321</v>
      </c>
    </row>
    <row r="13" spans="1:2" ht="75" x14ac:dyDescent="0.25">
      <c r="A13" s="16" t="s">
        <v>5</v>
      </c>
      <c r="B13" s="16" t="s">
        <v>412</v>
      </c>
    </row>
    <row r="15" spans="1:2" ht="75" x14ac:dyDescent="0.25">
      <c r="A15" s="16" t="s">
        <v>413</v>
      </c>
      <c r="B15" s="16" t="s">
        <v>414</v>
      </c>
    </row>
    <row r="17" spans="1:2" ht="90" x14ac:dyDescent="0.25">
      <c r="A17" s="16" t="s">
        <v>317</v>
      </c>
      <c r="B17" s="16" t="s">
        <v>415</v>
      </c>
    </row>
    <row r="19" spans="1:2" ht="45" x14ac:dyDescent="0.25">
      <c r="B19" s="16" t="s">
        <v>325</v>
      </c>
    </row>
    <row r="21" spans="1:2" x14ac:dyDescent="0.25">
      <c r="B21" s="26" t="s">
        <v>326</v>
      </c>
    </row>
    <row r="23" spans="1:2" x14ac:dyDescent="0.25">
      <c r="B23" s="16" t="s">
        <v>327</v>
      </c>
    </row>
    <row r="25" spans="1:2" x14ac:dyDescent="0.25">
      <c r="B25" s="26" t="s">
        <v>328</v>
      </c>
    </row>
    <row r="27" spans="1:2" x14ac:dyDescent="0.25">
      <c r="A27" s="16" t="s">
        <v>416</v>
      </c>
      <c r="B27" s="16" t="s">
        <v>417</v>
      </c>
    </row>
    <row r="29" spans="1:2" ht="30" x14ac:dyDescent="0.25">
      <c r="A29" s="16" t="s">
        <v>418</v>
      </c>
      <c r="B29" s="16" t="s">
        <v>419</v>
      </c>
    </row>
    <row r="31" spans="1:2" ht="45" x14ac:dyDescent="0.25">
      <c r="A31" s="16" t="s">
        <v>4</v>
      </c>
      <c r="B31" s="16" t="s">
        <v>322</v>
      </c>
    </row>
    <row r="33" spans="1:2" ht="60" x14ac:dyDescent="0.25">
      <c r="A33" s="16" t="s">
        <v>277</v>
      </c>
      <c r="B33" s="16" t="s">
        <v>420</v>
      </c>
    </row>
    <row r="35" spans="1:2" ht="45" x14ac:dyDescent="0.25">
      <c r="A35" s="16" t="s">
        <v>323</v>
      </c>
      <c r="B35" s="16" t="s">
        <v>421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C6" sqref="C6"/>
    </sheetView>
  </sheetViews>
  <sheetFormatPr defaultRowHeight="15" x14ac:dyDescent="0.25"/>
  <cols>
    <col min="1" max="1" width="25.42578125" style="16" customWidth="1"/>
    <col min="2" max="2" width="20.5703125" style="12" customWidth="1"/>
    <col min="3" max="3" width="80.5703125" style="16" customWidth="1"/>
  </cols>
  <sheetData>
    <row r="1" spans="1:3" x14ac:dyDescent="0.25">
      <c r="A1" s="18" t="s">
        <v>16</v>
      </c>
      <c r="B1" s="19" t="s">
        <v>17</v>
      </c>
      <c r="C1" s="18" t="s">
        <v>18</v>
      </c>
    </row>
    <row r="2" spans="1:3" ht="15" customHeight="1" x14ac:dyDescent="0.25">
      <c r="A2" s="18"/>
      <c r="B2" s="19"/>
      <c r="C2" s="18"/>
    </row>
    <row r="3" spans="1:3" ht="30" x14ac:dyDescent="0.25">
      <c r="A3" s="20" t="s">
        <v>330</v>
      </c>
      <c r="B3" s="21"/>
      <c r="C3" s="20" t="s">
        <v>331</v>
      </c>
    </row>
    <row r="4" spans="1:3" ht="45" x14ac:dyDescent="0.25">
      <c r="A4" s="20" t="s">
        <v>317</v>
      </c>
      <c r="B4" s="21"/>
      <c r="C4" s="20" t="s">
        <v>332</v>
      </c>
    </row>
    <row r="5" spans="1:3" ht="45" x14ac:dyDescent="0.25">
      <c r="A5" s="20" t="s">
        <v>330</v>
      </c>
      <c r="B5" s="21"/>
      <c r="C5" s="20" t="s">
        <v>333</v>
      </c>
    </row>
    <row r="6" spans="1:3" x14ac:dyDescent="0.25">
      <c r="A6" s="20" t="s">
        <v>334</v>
      </c>
      <c r="B6" s="27" t="s">
        <v>335</v>
      </c>
      <c r="C6" s="20" t="s">
        <v>336</v>
      </c>
    </row>
    <row r="7" spans="1:3" ht="30" x14ac:dyDescent="0.25">
      <c r="A7" s="20" t="s">
        <v>337</v>
      </c>
      <c r="B7" s="21"/>
      <c r="C7" s="20" t="s">
        <v>338</v>
      </c>
    </row>
    <row r="8" spans="1:3" ht="60" x14ac:dyDescent="0.25">
      <c r="A8" s="20" t="s">
        <v>339</v>
      </c>
      <c r="B8" s="27"/>
      <c r="C8" s="20" t="s">
        <v>340</v>
      </c>
    </row>
    <row r="9" spans="1:3" ht="30" x14ac:dyDescent="0.25">
      <c r="A9" s="20" t="s">
        <v>341</v>
      </c>
      <c r="B9" s="28">
        <v>0</v>
      </c>
      <c r="C9" s="20" t="s">
        <v>342</v>
      </c>
    </row>
    <row r="10" spans="1:3" ht="30" x14ac:dyDescent="0.25">
      <c r="A10" s="20" t="s">
        <v>343</v>
      </c>
      <c r="B10" s="28">
        <v>60</v>
      </c>
      <c r="C10" s="20" t="s">
        <v>344</v>
      </c>
    </row>
    <row r="11" spans="1:3" ht="30" x14ac:dyDescent="0.25">
      <c r="A11" s="20" t="s">
        <v>345</v>
      </c>
      <c r="B11" s="28">
        <v>5</v>
      </c>
      <c r="C11" s="20" t="s">
        <v>346</v>
      </c>
    </row>
    <row r="12" spans="1:3" x14ac:dyDescent="0.25">
      <c r="A12" s="20" t="s">
        <v>347</v>
      </c>
      <c r="B12" s="29">
        <v>3</v>
      </c>
      <c r="C12" s="20" t="s">
        <v>348</v>
      </c>
    </row>
    <row r="13" spans="1:3" x14ac:dyDescent="0.25">
      <c r="A13" s="20" t="s">
        <v>349</v>
      </c>
      <c r="B13" s="21" t="s">
        <v>25</v>
      </c>
      <c r="C13" s="20" t="s">
        <v>350</v>
      </c>
    </row>
  </sheetData>
  <dataValidations count="8">
    <dataValidation type="list" allowBlank="1" errorTitle="Invalid Entry" error="Maximum rest sessions must be 1-10. Leave blank for no change. Please use pull down menu to pick an appropriate value." sqref="B12" xr:uid="{3E1ACEC8-1954-4D41-B73C-60C85CB71DB2}">
      <formula1>"1,2,3,4,5,6,7,8,9,10"</formula1>
    </dataValidation>
    <dataValidation allowBlank="1" showInputMessage="1" sqref="B4" xr:uid="{8E2B37E7-FF0D-4457-A557-B48BB53B450F}"/>
    <dataValidation type="list" allowBlank="1" showInputMessage="1" showErrorMessage="1" error="Use Yes or No only." sqref="B13" xr:uid="{E96197D8-821C-4A37-BC8C-D1A97ABCA5B1}">
      <formula1>"Yes,No"</formula1>
    </dataValidation>
    <dataValidation type="list" allowBlank="1" showInputMessage="1" showErrorMessage="1" error="Valid options are: Clear (empty cell), &quot;Enable&quot; or &quot;Disable&quot;." sqref="B3 B5" xr:uid="{1987855C-EC19-4BB4-8337-AB8173750325}">
      <formula1>"Enable,Disable"</formula1>
    </dataValidation>
    <dataValidation type="list" allowBlank="1" showInputMessage="1" showErrorMessage="1" error="Use Enable or Disable only." sqref="B7" xr:uid="{BBC35FA0-75D7-4D9E-A811-53971E20C66E}">
      <formula1>"Enable,Disable"</formula1>
    </dataValidation>
    <dataValidation type="whole" allowBlank="1" showInputMessage="1" showErrorMessage="1" errorTitle="Invalid Timeout" error="Session timeout must be empty (blank) or an integer in the range 0-99999." sqref="B10" xr:uid="{486AB16F-5C22-46E6-BB52-90C8210A6664}">
      <formula1>0</formula1>
      <formula2>99999</formula2>
    </dataValidation>
    <dataValidation type="whole" allowBlank="1" showInputMessage="1" showErrorMessage="1" errorTitle="Invalid Timeout" error="Shell timeout must be empty (blank) or an integer in the range 0-99999." sqref="B9" xr:uid="{7926C9D7-87A7-4C07-9287-B9FD23BC1DFC}">
      <formula1>0</formula1>
      <formula2>99999</formula2>
    </dataValidation>
    <dataValidation type="list" allowBlank="1" showInputMessage="1" showErrorMessage="1" errorTitle="Invalid Timeout" error="TCP timeout must be an integer in the range 1-5." sqref="B11" xr:uid="{DF750F5F-166D-4EA9-9D53-FE9288A07916}">
      <formula1>"1,2,3,4,5"</formula1>
    </dataValidation>
  </dataValidation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topLeftCell="A19" workbookViewId="0">
      <selection activeCell="A21" sqref="A21:XFD22"/>
    </sheetView>
  </sheetViews>
  <sheetFormatPr defaultRowHeight="15" x14ac:dyDescent="0.25"/>
  <cols>
    <col min="1" max="1" width="20.5703125" style="16" customWidth="1"/>
    <col min="2" max="2" width="20.5703125" style="12" customWidth="1"/>
    <col min="3" max="3" width="80.5703125" style="16" customWidth="1"/>
  </cols>
  <sheetData>
    <row r="1" spans="1:3" x14ac:dyDescent="0.25">
      <c r="A1" s="18" t="s">
        <v>16</v>
      </c>
      <c r="B1" s="19" t="s">
        <v>17</v>
      </c>
      <c r="C1" s="18" t="s">
        <v>18</v>
      </c>
    </row>
    <row r="2" spans="1:3" x14ac:dyDescent="0.25">
      <c r="A2" s="20"/>
      <c r="B2" s="21"/>
      <c r="C2" s="20"/>
    </row>
    <row r="3" spans="1:3" ht="75" x14ac:dyDescent="0.25">
      <c r="A3" s="20" t="s">
        <v>19</v>
      </c>
      <c r="B3" s="21">
        <v>128</v>
      </c>
      <c r="C3" s="20" t="s">
        <v>351</v>
      </c>
    </row>
    <row r="4" spans="1:3" ht="30" x14ac:dyDescent="0.25">
      <c r="A4" s="20" t="s">
        <v>330</v>
      </c>
      <c r="B4" s="21"/>
      <c r="C4" s="20" t="s">
        <v>352</v>
      </c>
    </row>
    <row r="5" spans="1:3" ht="60" x14ac:dyDescent="0.25">
      <c r="A5" s="20" t="s">
        <v>22</v>
      </c>
      <c r="B5" s="21" t="s">
        <v>23</v>
      </c>
      <c r="C5" s="20" t="s">
        <v>353</v>
      </c>
    </row>
    <row r="6" spans="1:3" ht="30" x14ac:dyDescent="0.25">
      <c r="A6" s="20" t="s">
        <v>273</v>
      </c>
      <c r="B6" s="21" t="s">
        <v>25</v>
      </c>
      <c r="C6" s="20" t="s">
        <v>354</v>
      </c>
    </row>
    <row r="7" spans="1:3" x14ac:dyDescent="0.25">
      <c r="A7" s="20" t="s">
        <v>317</v>
      </c>
      <c r="B7" s="21"/>
      <c r="C7" s="20" t="s">
        <v>355</v>
      </c>
    </row>
    <row r="8" spans="1:3" ht="30" x14ac:dyDescent="0.25">
      <c r="A8" s="20" t="s">
        <v>20</v>
      </c>
      <c r="B8" s="21" t="s">
        <v>356</v>
      </c>
      <c r="C8" s="20" t="s">
        <v>357</v>
      </c>
    </row>
    <row r="9" spans="1:3" ht="30" x14ac:dyDescent="0.25">
      <c r="A9" s="20" t="s">
        <v>21</v>
      </c>
      <c r="B9" s="21" t="s">
        <v>358</v>
      </c>
      <c r="C9" s="20" t="s">
        <v>359</v>
      </c>
    </row>
    <row r="10" spans="1:3" ht="45" x14ac:dyDescent="0.25">
      <c r="A10" s="20" t="s">
        <v>360</v>
      </c>
      <c r="B10" s="21" t="s">
        <v>25</v>
      </c>
      <c r="C10" s="20" t="s">
        <v>361</v>
      </c>
    </row>
    <row r="11" spans="1:3" ht="30" x14ac:dyDescent="0.25">
      <c r="A11" s="20" t="s">
        <v>278</v>
      </c>
      <c r="B11" s="21" t="s">
        <v>37</v>
      </c>
      <c r="C11" s="20" t="s">
        <v>362</v>
      </c>
    </row>
    <row r="12" spans="1:3" ht="30" x14ac:dyDescent="0.25">
      <c r="A12" s="20" t="s">
        <v>24</v>
      </c>
      <c r="B12" s="21"/>
      <c r="C12" s="20" t="s">
        <v>363</v>
      </c>
    </row>
    <row r="13" spans="1:3" ht="45" x14ac:dyDescent="0.25">
      <c r="A13" s="20" t="s">
        <v>26</v>
      </c>
      <c r="B13" s="27"/>
      <c r="C13" s="20" t="s">
        <v>364</v>
      </c>
    </row>
    <row r="14" spans="1:3" x14ac:dyDescent="0.25">
      <c r="A14" s="20" t="s">
        <v>267</v>
      </c>
      <c r="B14" s="21"/>
      <c r="C14" s="20" t="s">
        <v>365</v>
      </c>
    </row>
    <row r="15" spans="1:3" ht="150" x14ac:dyDescent="0.25">
      <c r="A15" s="20" t="s">
        <v>268</v>
      </c>
      <c r="B15" s="21"/>
      <c r="C15" s="20" t="s">
        <v>424</v>
      </c>
    </row>
    <row r="16" spans="1:3" ht="30" x14ac:dyDescent="0.25">
      <c r="A16" s="20" t="s">
        <v>269</v>
      </c>
      <c r="B16" s="21"/>
      <c r="C16" s="20" t="s">
        <v>366</v>
      </c>
    </row>
    <row r="17" spans="1:3" ht="30" x14ac:dyDescent="0.25">
      <c r="A17" s="20" t="s">
        <v>297</v>
      </c>
      <c r="B17" s="21"/>
      <c r="C17" s="20" t="s">
        <v>367</v>
      </c>
    </row>
    <row r="18" spans="1:3" ht="90" x14ac:dyDescent="0.25">
      <c r="A18" s="20" t="s">
        <v>277</v>
      </c>
      <c r="B18" s="21"/>
      <c r="C18" s="20" t="s">
        <v>425</v>
      </c>
    </row>
    <row r="19" spans="1:3" ht="45" x14ac:dyDescent="0.25">
      <c r="A19" s="20" t="s">
        <v>305</v>
      </c>
      <c r="B19" s="21"/>
      <c r="C19" s="20" t="s">
        <v>306</v>
      </c>
    </row>
    <row r="20" spans="1:3" ht="30" x14ac:dyDescent="0.25">
      <c r="A20" s="20" t="s">
        <v>330</v>
      </c>
      <c r="B20" s="21" t="s">
        <v>368</v>
      </c>
      <c r="C20" s="20" t="s">
        <v>369</v>
      </c>
    </row>
    <row r="21" spans="1:3" ht="75" x14ac:dyDescent="0.25">
      <c r="A21" s="20" t="s">
        <v>426</v>
      </c>
      <c r="B21" s="21"/>
      <c r="C21" s="20" t="s">
        <v>427</v>
      </c>
    </row>
    <row r="22" spans="1:3" ht="60" x14ac:dyDescent="0.25">
      <c r="A22" s="20" t="s">
        <v>428</v>
      </c>
      <c r="B22" s="21"/>
      <c r="C22" s="20" t="s">
        <v>429</v>
      </c>
    </row>
    <row r="23" spans="1:3" x14ac:dyDescent="0.25">
      <c r="A23" s="20" t="s">
        <v>303</v>
      </c>
      <c r="B23" s="21"/>
      <c r="C23" s="20" t="s">
        <v>304</v>
      </c>
    </row>
    <row r="24" spans="1:3" x14ac:dyDescent="0.25">
      <c r="A24" s="20" t="s">
        <v>370</v>
      </c>
      <c r="B24" s="21" t="s">
        <v>25</v>
      </c>
      <c r="C24" s="20" t="s">
        <v>371</v>
      </c>
    </row>
  </sheetData>
  <dataValidations count="8">
    <dataValidation type="list" allowBlank="1" showInputMessage="1" showErrorMessage="1" sqref="B16 B23" xr:uid="{C72166BF-27E0-414E-8F18-90218BD42988}">
      <formula1>"Yes,No"</formula1>
    </dataValidation>
    <dataValidation type="list" allowBlank="1" showInputMessage="1" showErrorMessage="1" error="Valid options are: Clear (empty cell), &quot;Enable&quot;, &quot;Disable&quot;, or Persistent Disable." sqref="B6 B4 B20" xr:uid="{AA706F75-0744-472D-8274-7FB761C08077}">
      <formula1>"Enable,Disable,Persistent Disable"</formula1>
    </dataValidation>
    <dataValidation type="list" allowBlank="1" showInputMessage="1" showErrorMessage="1" error="Invalid selection. Options are: first-flogi-or-first-fdiscprecedence, second-flogi-or-secondfdisc- precedence, or first-flogi-or-second-fdiscprecedence" sqref="B15" xr:uid="{7E408D6B-A7E1-4A49-8D77-FF2CAB3EA4D4}">
      <formula1>"first-flogi-or-first-fdisc-precedence,second-flogi-or-second-fdisc-precedence,first-flogi-or-second-fdisc-precedence"</formula1>
    </dataValidation>
    <dataValidation type="list" allowBlank="1" showInputMessage="1" showErrorMessage="1" error="Must be off, default, fdmi, dynamic, open -n, ficon -n" sqref="B18" xr:uid="{CC257297-D516-4357-94AB-13169A4010B2}">
      <formula1>"index,fdmi,dynamic,open, ficon"</formula1>
    </dataValidation>
    <dataValidation type="list" allowBlank="1" showInputMessage="1" showErrorMessage="1" error="Use Yes or No only." sqref="B12 B10 B24 B6" xr:uid="{E9F86E1C-B204-4AD6-A819-B2AC539622FC}">
      <formula1>"Yes,No"</formula1>
    </dataValidation>
    <dataValidation allowBlank="1" showInputMessage="1" sqref="B7" xr:uid="{13614185-9658-4C34-A7F6-30F14BAA35E2}"/>
    <dataValidation type="list" allowBlank="1" showInputMessage="1" showErrorMessage="1" sqref="B17" xr:uid="{23185CA6-B42B-4FD6-8F28-B09F9B15F4A6}">
      <formula1>"DBR,EBR"</formula1>
    </dataValidation>
    <dataValidation type="list" allowBlank="1" showInputMessage="1" showErrorMessage="1" error="Zoning method must be all, all_f, or device" sqref="B22" xr:uid="{03B95528-A198-4E5D-B9E4-3B623F3D9827}">
      <formula1>"all,all_f,device"</formula1>
    </dataValidation>
  </dataValidation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sheetPr>
  <dimension ref="B1:AJ33"/>
  <sheetViews>
    <sheetView topLeftCell="R1" workbookViewId="0">
      <selection activeCell="Y12" sqref="Y1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5" t="s">
        <v>1</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3" s="12" customFormat="1" ht="60" x14ac:dyDescent="0.25">
      <c r="B2" s="13" t="s">
        <v>0</v>
      </c>
      <c r="C2" s="13" t="s">
        <v>7</v>
      </c>
      <c r="D2" s="13" t="s">
        <v>8</v>
      </c>
      <c r="E2" s="13" t="s">
        <v>296</v>
      </c>
      <c r="F2" s="13" t="s">
        <v>6</v>
      </c>
      <c r="G2" s="13" t="s">
        <v>5</v>
      </c>
      <c r="H2" s="13" t="s">
        <v>413</v>
      </c>
      <c r="I2" s="13" t="s">
        <v>317</v>
      </c>
      <c r="J2" s="13" t="s">
        <v>416</v>
      </c>
      <c r="K2" s="13" t="s">
        <v>4</v>
      </c>
      <c r="L2" s="13" t="s">
        <v>277</v>
      </c>
      <c r="M2" s="13" t="s">
        <v>9</v>
      </c>
      <c r="N2" s="13" t="s">
        <v>10</v>
      </c>
      <c r="O2" s="13" t="s">
        <v>11</v>
      </c>
      <c r="Q2" s="13" t="s">
        <v>0</v>
      </c>
      <c r="R2" s="13" t="s">
        <v>7</v>
      </c>
      <c r="S2" s="13" t="s">
        <v>8</v>
      </c>
      <c r="T2" s="13" t="s">
        <v>296</v>
      </c>
      <c r="U2" s="13" t="s">
        <v>6</v>
      </c>
      <c r="V2" s="13" t="s">
        <v>5</v>
      </c>
      <c r="W2" s="13" t="s">
        <v>413</v>
      </c>
      <c r="X2" s="13" t="s">
        <v>317</v>
      </c>
      <c r="Y2" s="13" t="s">
        <v>416</v>
      </c>
      <c r="Z2" s="13" t="s">
        <v>4</v>
      </c>
      <c r="AA2" s="13" t="s">
        <v>277</v>
      </c>
      <c r="AB2" s="13" t="s">
        <v>9</v>
      </c>
      <c r="AC2" s="13" t="s">
        <v>10</v>
      </c>
      <c r="AD2" s="13" t="s">
        <v>11</v>
      </c>
    </row>
    <row r="3" spans="2:33" ht="6" customHeight="1" x14ac:dyDescent="0.25">
      <c r="Q3" s="1"/>
      <c r="AB3" s="3"/>
    </row>
    <row r="4" spans="2:33" ht="15" customHeight="1" x14ac:dyDescent="0.25">
      <c r="B4" s="6">
        <f t="shared" ref="B4:B12" si="0">B5+1</f>
        <v>23</v>
      </c>
      <c r="C4" s="6" t="str">
        <f t="shared" ref="C4:C12" si="1">C5</f>
        <v>1</v>
      </c>
      <c r="D4" s="6" t="str">
        <f t="shared" ref="D4:D12" si="2">DEC2HEX(HEX2DEC(D5)+1)</f>
        <v>17</v>
      </c>
      <c r="E4" s="6">
        <f t="shared" ref="E4:E11" si="3">E5+1</f>
        <v>23</v>
      </c>
      <c r="F4" s="7" t="str">
        <f t="shared" ref="F4:F12" si="4">IF(HEX2DEC(D4)&gt;15,IF(HEX2DEC(C4) &gt; 15,CONCATENATE(C4,D4),CONCATENATE("0",C4,D4)),IF(HEX2DEC(C4) &gt; 15,CONCATENATE(C4,"0",D4),CONCATENATE("0",C4,"0",D4)))</f>
        <v>0117</v>
      </c>
      <c r="G4" s="7">
        <f t="shared" ref="G4:G12" si="5">G5</f>
        <v>0</v>
      </c>
      <c r="H4" s="7"/>
      <c r="I4" s="7"/>
      <c r="J4" s="7"/>
      <c r="K4" s="8"/>
      <c r="L4" s="8"/>
      <c r="M4" s="7">
        <f>LOOKUP(HEX2DEC(MID(F4,4,1)),VC!A1:C16)</f>
        <v>9</v>
      </c>
      <c r="N4" s="7">
        <f>LOOKUP(HEX2DEC(MID(F4,4,1)),VC!A1:B16)</f>
        <v>5</v>
      </c>
      <c r="O4" s="7">
        <f>LOOKUP(HEX2DEC(MID(F4,4,1)),VC!A1:D16)</f>
        <v>12</v>
      </c>
      <c r="P4" s="2"/>
      <c r="Q4" s="6">
        <f t="shared" ref="Q4:Q12" si="6">Q5+1</f>
        <v>47</v>
      </c>
      <c r="R4" s="6" t="str">
        <f t="shared" ref="R4:R12" si="7">R5</f>
        <v>1</v>
      </c>
      <c r="S4" s="6" t="str">
        <f t="shared" ref="S4:S12" si="8">DEC2HEX(HEX2DEC(S5)+1)</f>
        <v>2F</v>
      </c>
      <c r="T4" s="6">
        <f t="shared" ref="T4:T10" si="9">T5+1</f>
        <v>47</v>
      </c>
      <c r="U4" s="7" t="str">
        <f t="shared" ref="U4:U12" si="10">IF(HEX2DEC(S4)&gt;15,IF(HEX2DEC(R4) &gt; 15,CONCATENATE(R4,S4),CONCATENATE("0",R4,S4)),IF(HEX2DEC(R4) &gt; 15,CONCATENATE(R4,"0",S4),CONCATENATE("0",R4,"0",S4)))</f>
        <v>012F</v>
      </c>
      <c r="V4" s="7">
        <f t="shared" ref="V4:V12" si="11">V5</f>
        <v>0</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16</v>
      </c>
      <c r="E5" s="6">
        <f t="shared" si="3"/>
        <v>22</v>
      </c>
      <c r="F5" s="7" t="str">
        <f t="shared" si="4"/>
        <v>0116</v>
      </c>
      <c r="G5" s="7">
        <f t="shared" si="5"/>
        <v>0</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2E</v>
      </c>
      <c r="T5" s="6">
        <f t="shared" si="9"/>
        <v>46</v>
      </c>
      <c r="U5" s="7" t="str">
        <f t="shared" si="10"/>
        <v>012E</v>
      </c>
      <c r="V5" s="7">
        <f t="shared" si="11"/>
        <v>0</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15</v>
      </c>
      <c r="E6" s="6">
        <f t="shared" si="3"/>
        <v>21</v>
      </c>
      <c r="F6" s="7" t="str">
        <f t="shared" si="4"/>
        <v>0115</v>
      </c>
      <c r="G6" s="7">
        <f t="shared" si="5"/>
        <v>0</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2D</v>
      </c>
      <c r="T6" s="6">
        <f t="shared" si="9"/>
        <v>45</v>
      </c>
      <c r="U6" s="7" t="str">
        <f t="shared" si="10"/>
        <v>012D</v>
      </c>
      <c r="V6" s="7">
        <f t="shared" si="11"/>
        <v>0</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14</v>
      </c>
      <c r="E7" s="6">
        <f t="shared" si="3"/>
        <v>20</v>
      </c>
      <c r="F7" s="7" t="str">
        <f t="shared" si="4"/>
        <v>0114</v>
      </c>
      <c r="G7" s="7">
        <f t="shared" si="5"/>
        <v>0</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2C</v>
      </c>
      <c r="T7" s="6">
        <f t="shared" si="9"/>
        <v>44</v>
      </c>
      <c r="U7" s="7" t="str">
        <f t="shared" si="10"/>
        <v>012C</v>
      </c>
      <c r="V7" s="7">
        <f t="shared" si="11"/>
        <v>0</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13</v>
      </c>
      <c r="E8" s="6">
        <f t="shared" si="3"/>
        <v>19</v>
      </c>
      <c r="F8" s="7" t="str">
        <f t="shared" si="4"/>
        <v>0113</v>
      </c>
      <c r="G8" s="7">
        <f t="shared" si="5"/>
        <v>0</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2B</v>
      </c>
      <c r="T8" s="6">
        <f t="shared" si="9"/>
        <v>43</v>
      </c>
      <c r="U8" s="7" t="str">
        <f t="shared" si="10"/>
        <v>012B</v>
      </c>
      <c r="V8" s="7">
        <f t="shared" si="11"/>
        <v>0</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12</v>
      </c>
      <c r="E9" s="6">
        <f t="shared" si="3"/>
        <v>18</v>
      </c>
      <c r="F9" s="7" t="str">
        <f t="shared" si="4"/>
        <v>0112</v>
      </c>
      <c r="G9" s="7">
        <f t="shared" si="5"/>
        <v>0</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2A</v>
      </c>
      <c r="T9" s="6">
        <f t="shared" si="9"/>
        <v>42</v>
      </c>
      <c r="U9" s="7" t="str">
        <f t="shared" si="10"/>
        <v>012A</v>
      </c>
      <c r="V9" s="7">
        <f t="shared" si="11"/>
        <v>0</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11</v>
      </c>
      <c r="E10" s="6">
        <f t="shared" si="3"/>
        <v>17</v>
      </c>
      <c r="F10" s="7" t="str">
        <f t="shared" si="4"/>
        <v>0111</v>
      </c>
      <c r="G10" s="7">
        <f t="shared" si="5"/>
        <v>0</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29</v>
      </c>
      <c r="T10" s="6">
        <f t="shared" si="9"/>
        <v>41</v>
      </c>
      <c r="U10" s="7" t="str">
        <f t="shared" si="10"/>
        <v>0129</v>
      </c>
      <c r="V10" s="7">
        <f t="shared" si="11"/>
        <v>0</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10</v>
      </c>
      <c r="E11" s="6">
        <f t="shared" si="3"/>
        <v>16</v>
      </c>
      <c r="F11" s="7" t="str">
        <f t="shared" si="4"/>
        <v>0110</v>
      </c>
      <c r="G11" s="7">
        <f t="shared" si="5"/>
        <v>0</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28</v>
      </c>
      <c r="T11" s="6">
        <f>T12+1</f>
        <v>40</v>
      </c>
      <c r="U11" s="7" t="str">
        <f t="shared" si="10"/>
        <v>0128</v>
      </c>
      <c r="V11" s="7">
        <f t="shared" si="11"/>
        <v>0</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F</v>
      </c>
      <c r="E12" s="6">
        <f t="shared" ref="E12:E18" si="12">E13+1</f>
        <v>15</v>
      </c>
      <c r="F12" s="7" t="str">
        <f t="shared" si="4"/>
        <v>010F</v>
      </c>
      <c r="G12" s="7">
        <f t="shared" si="5"/>
        <v>0</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27</v>
      </c>
      <c r="T12" s="9">
        <f t="shared" ref="T12:T19" si="13">T13+1</f>
        <v>39</v>
      </c>
      <c r="U12" s="9" t="str">
        <f t="shared" si="10"/>
        <v>0127</v>
      </c>
      <c r="V12" s="9">
        <f t="shared" si="11"/>
        <v>0</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ref="B13:B18" si="14">B14+1</f>
        <v>14</v>
      </c>
      <c r="C13" s="6" t="str">
        <f t="shared" ref="C13:C25" si="15">C14</f>
        <v>1</v>
      </c>
      <c r="D13" s="6" t="str">
        <f t="shared" ref="D13:D25" si="16">DEC2HEX(HEX2DEC(D14)+1)</f>
        <v>E</v>
      </c>
      <c r="E13" s="6">
        <f t="shared" si="12"/>
        <v>14</v>
      </c>
      <c r="F13" s="7" t="str">
        <f t="shared" ref="F13:F26" si="17">IF(HEX2DEC(D13)&gt;15,IF(HEX2DEC(C13) &gt; 15,CONCATENATE(C13,D13),CONCATENATE("0",C13,D13)),IF(HEX2DEC(C13) &gt; 15,CONCATENATE(C13,"0",D13),CONCATENATE("0",C13,"0",D13)))</f>
        <v>010E</v>
      </c>
      <c r="G13" s="7">
        <f t="shared" ref="G13:G25" si="18">G14</f>
        <v>0</v>
      </c>
      <c r="H13" s="7"/>
      <c r="I13" s="7"/>
      <c r="J13" s="7"/>
      <c r="K13" s="8"/>
      <c r="L13" s="8"/>
      <c r="M13" s="7">
        <f>LOOKUP(HEX2DEC(MID(F13,4,1)),VC!A1:C16)</f>
        <v>8</v>
      </c>
      <c r="N13" s="7">
        <f>LOOKUP(HEX2DEC(MID(F13,4,1)),VC!A1:B16)</f>
        <v>4</v>
      </c>
      <c r="O13" s="7">
        <f>LOOKUP(HEX2DEC(MID(F13,4,1)),VC!A1:D16)</f>
        <v>14</v>
      </c>
      <c r="P13" s="2"/>
      <c r="Q13" s="9">
        <f t="shared" ref="Q13:Q25" si="19">Q14+1</f>
        <v>38</v>
      </c>
      <c r="R13" s="9" t="str">
        <f t="shared" ref="R13:R25" si="20">R14</f>
        <v>1</v>
      </c>
      <c r="S13" s="9" t="str">
        <f t="shared" ref="S13:S25" si="21">DEC2HEX(HEX2DEC(S14)+1)</f>
        <v>26</v>
      </c>
      <c r="T13" s="9">
        <f t="shared" si="13"/>
        <v>38</v>
      </c>
      <c r="U13" s="9" t="str">
        <f t="shared" ref="U13:U26" si="22">IF(HEX2DEC(S13)&gt;15,IF(HEX2DEC(R13) &gt; 15,CONCATENATE(R13,S13),CONCATENATE("0",R13,S13)),IF(HEX2DEC(R13) &gt; 15,CONCATENATE(R13,"0",S13),CONCATENATE("0",R13,"0",S13)))</f>
        <v>0126</v>
      </c>
      <c r="V13" s="9">
        <f t="shared" ref="V13:V25" si="23">V14</f>
        <v>0</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14"/>
        <v>13</v>
      </c>
      <c r="C14" s="6" t="str">
        <f t="shared" si="15"/>
        <v>1</v>
      </c>
      <c r="D14" s="6" t="str">
        <f t="shared" si="16"/>
        <v>D</v>
      </c>
      <c r="E14" s="6">
        <f t="shared" si="12"/>
        <v>13</v>
      </c>
      <c r="F14" s="7" t="str">
        <f t="shared" si="17"/>
        <v>010D</v>
      </c>
      <c r="G14" s="7">
        <f t="shared" si="18"/>
        <v>0</v>
      </c>
      <c r="H14" s="7"/>
      <c r="I14" s="7"/>
      <c r="J14" s="7"/>
      <c r="K14" s="8"/>
      <c r="L14" s="8"/>
      <c r="M14" s="7">
        <f>LOOKUP(HEX2DEC(MID(F14,4,1)),VC!A1:C16)</f>
        <v>9</v>
      </c>
      <c r="N14" s="7">
        <f>LOOKUP(HEX2DEC(MID(F14,4,1)),VC!A1:B16)</f>
        <v>3</v>
      </c>
      <c r="O14" s="7">
        <f>LOOKUP(HEX2DEC(MID(F14,4,1)),VC!A1:D16)</f>
        <v>13</v>
      </c>
      <c r="P14" s="2"/>
      <c r="Q14" s="9">
        <f t="shared" si="19"/>
        <v>37</v>
      </c>
      <c r="R14" s="9" t="str">
        <f t="shared" si="20"/>
        <v>1</v>
      </c>
      <c r="S14" s="9" t="str">
        <f t="shared" si="21"/>
        <v>25</v>
      </c>
      <c r="T14" s="9">
        <f t="shared" si="13"/>
        <v>37</v>
      </c>
      <c r="U14" s="9" t="str">
        <f t="shared" si="22"/>
        <v>0125</v>
      </c>
      <c r="V14" s="9">
        <f t="shared" si="23"/>
        <v>0</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14"/>
        <v>12</v>
      </c>
      <c r="C15" s="6" t="str">
        <f t="shared" si="15"/>
        <v>1</v>
      </c>
      <c r="D15" s="6" t="str">
        <f t="shared" si="16"/>
        <v>C</v>
      </c>
      <c r="E15" s="6">
        <f t="shared" si="12"/>
        <v>12</v>
      </c>
      <c r="F15" s="7" t="str">
        <f t="shared" si="17"/>
        <v>010C</v>
      </c>
      <c r="G15" s="7">
        <f t="shared" si="18"/>
        <v>0</v>
      </c>
      <c r="H15" s="7"/>
      <c r="I15" s="7"/>
      <c r="J15" s="7"/>
      <c r="K15" s="8"/>
      <c r="L15" s="8"/>
      <c r="M15" s="7">
        <f>LOOKUP(HEX2DEC(MID(F15,4,1)),VC!A1:C16)</f>
        <v>8</v>
      </c>
      <c r="N15" s="7">
        <f>LOOKUP(HEX2DEC(MID(F15,4,1)),VC!A1:B16)</f>
        <v>2</v>
      </c>
      <c r="O15" s="7">
        <f>LOOKUP(HEX2DEC(MID(F15,4,1)),VC!A1:D16)</f>
        <v>12</v>
      </c>
      <c r="P15" s="2"/>
      <c r="Q15" s="9">
        <f t="shared" si="19"/>
        <v>36</v>
      </c>
      <c r="R15" s="9" t="str">
        <f t="shared" si="20"/>
        <v>1</v>
      </c>
      <c r="S15" s="9" t="str">
        <f t="shared" si="21"/>
        <v>24</v>
      </c>
      <c r="T15" s="9">
        <f t="shared" si="13"/>
        <v>36</v>
      </c>
      <c r="U15" s="9" t="str">
        <f t="shared" si="22"/>
        <v>0124</v>
      </c>
      <c r="V15" s="9">
        <f t="shared" si="23"/>
        <v>0</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14"/>
        <v>11</v>
      </c>
      <c r="C16" s="6" t="str">
        <f t="shared" si="15"/>
        <v>1</v>
      </c>
      <c r="D16" s="6" t="str">
        <f t="shared" si="16"/>
        <v>B</v>
      </c>
      <c r="E16" s="6">
        <f t="shared" si="12"/>
        <v>11</v>
      </c>
      <c r="F16" s="7" t="str">
        <f t="shared" si="17"/>
        <v>010B</v>
      </c>
      <c r="G16" s="7">
        <f t="shared" si="18"/>
        <v>0</v>
      </c>
      <c r="H16" s="7"/>
      <c r="I16" s="7"/>
      <c r="J16" s="7"/>
      <c r="K16" s="8"/>
      <c r="L16" s="8"/>
      <c r="M16" s="7">
        <f>LOOKUP(HEX2DEC(MID(F16,4,1)),VC!A1:C16)</f>
        <v>9</v>
      </c>
      <c r="N16" s="7">
        <f>LOOKUP(HEX2DEC(MID(F16,4,1)),VC!A1:B16)</f>
        <v>5</v>
      </c>
      <c r="O16" s="7">
        <f>LOOKUP(HEX2DEC(MID(F16,4,1)),VC!A1:D16)</f>
        <v>11</v>
      </c>
      <c r="P16" s="2"/>
      <c r="Q16" s="9">
        <f t="shared" si="19"/>
        <v>35</v>
      </c>
      <c r="R16" s="9" t="str">
        <f t="shared" si="20"/>
        <v>1</v>
      </c>
      <c r="S16" s="9" t="str">
        <f t="shared" si="21"/>
        <v>23</v>
      </c>
      <c r="T16" s="9">
        <f t="shared" si="13"/>
        <v>35</v>
      </c>
      <c r="U16" s="9" t="str">
        <f t="shared" si="22"/>
        <v>0123</v>
      </c>
      <c r="V16" s="9">
        <f t="shared" si="23"/>
        <v>0</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14"/>
        <v>10</v>
      </c>
      <c r="C17" s="6" t="str">
        <f t="shared" si="15"/>
        <v>1</v>
      </c>
      <c r="D17" s="6" t="str">
        <f t="shared" si="16"/>
        <v>A</v>
      </c>
      <c r="E17" s="6">
        <f t="shared" si="12"/>
        <v>10</v>
      </c>
      <c r="F17" s="7" t="str">
        <f t="shared" si="17"/>
        <v>010A</v>
      </c>
      <c r="G17" s="7">
        <f t="shared" si="18"/>
        <v>0</v>
      </c>
      <c r="H17" s="7"/>
      <c r="I17" s="7"/>
      <c r="J17" s="7"/>
      <c r="K17" s="8"/>
      <c r="L17" s="8"/>
      <c r="M17" s="7">
        <f>LOOKUP(HEX2DEC(MID(F17,4,1)),VC!A1:C16)</f>
        <v>8</v>
      </c>
      <c r="N17" s="7">
        <f>LOOKUP(HEX2DEC(MID(F17,4,1)),VC!A1:B16)</f>
        <v>4</v>
      </c>
      <c r="O17" s="7">
        <f>LOOKUP(HEX2DEC(MID(F17,4,1)),VC!A1:D16)</f>
        <v>10</v>
      </c>
      <c r="P17" s="2"/>
      <c r="Q17" s="9">
        <f t="shared" si="19"/>
        <v>34</v>
      </c>
      <c r="R17" s="9" t="str">
        <f t="shared" si="20"/>
        <v>1</v>
      </c>
      <c r="S17" s="9" t="str">
        <f t="shared" si="21"/>
        <v>22</v>
      </c>
      <c r="T17" s="9">
        <f t="shared" si="13"/>
        <v>34</v>
      </c>
      <c r="U17" s="9" t="str">
        <f t="shared" si="22"/>
        <v>0122</v>
      </c>
      <c r="V17" s="9">
        <f t="shared" si="23"/>
        <v>0</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14"/>
        <v>9</v>
      </c>
      <c r="C18" s="6" t="str">
        <f t="shared" si="15"/>
        <v>1</v>
      </c>
      <c r="D18" s="6" t="str">
        <f t="shared" si="16"/>
        <v>9</v>
      </c>
      <c r="E18" s="6">
        <f t="shared" si="12"/>
        <v>9</v>
      </c>
      <c r="F18" s="7" t="str">
        <f t="shared" si="17"/>
        <v>0109</v>
      </c>
      <c r="G18" s="7">
        <f t="shared" si="18"/>
        <v>0</v>
      </c>
      <c r="H18" s="7"/>
      <c r="I18" s="7"/>
      <c r="J18" s="7"/>
      <c r="K18" s="8"/>
      <c r="L18" s="8"/>
      <c r="M18" s="7">
        <f>LOOKUP(HEX2DEC(MID(F18,4,1)),VC!A1:C16)</f>
        <v>9</v>
      </c>
      <c r="N18" s="7">
        <f>LOOKUP(HEX2DEC(MID(F18,4,1)),VC!A1:B16)</f>
        <v>3</v>
      </c>
      <c r="O18" s="7">
        <f>LOOKUP(HEX2DEC(MID(F18,4,1)),VC!A1:D16)</f>
        <v>14</v>
      </c>
      <c r="P18" s="2"/>
      <c r="Q18" s="9">
        <f t="shared" si="19"/>
        <v>33</v>
      </c>
      <c r="R18" s="9" t="str">
        <f t="shared" si="20"/>
        <v>1</v>
      </c>
      <c r="S18" s="9" t="str">
        <f t="shared" si="21"/>
        <v>21</v>
      </c>
      <c r="T18" s="9">
        <f t="shared" si="13"/>
        <v>33</v>
      </c>
      <c r="U18" s="9" t="str">
        <f t="shared" si="22"/>
        <v>0121</v>
      </c>
      <c r="V18" s="9">
        <f t="shared" si="23"/>
        <v>0</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5"/>
        <v>1</v>
      </c>
      <c r="D19" s="6" t="str">
        <f t="shared" si="16"/>
        <v>8</v>
      </c>
      <c r="E19" s="6">
        <f>E20+1</f>
        <v>8</v>
      </c>
      <c r="F19" s="7" t="str">
        <f t="shared" si="17"/>
        <v>0108</v>
      </c>
      <c r="G19" s="7">
        <f t="shared" si="18"/>
        <v>0</v>
      </c>
      <c r="H19" s="7"/>
      <c r="I19" s="7"/>
      <c r="J19" s="7"/>
      <c r="K19" s="8"/>
      <c r="L19" s="8"/>
      <c r="M19" s="7">
        <f>LOOKUP(HEX2DEC(MID(F19,4,1)),VC!A1:C16)</f>
        <v>8</v>
      </c>
      <c r="N19" s="7">
        <f>LOOKUP(HEX2DEC(MID(F19,4,1)),VC!A1:B16)</f>
        <v>2</v>
      </c>
      <c r="O19" s="7">
        <f>LOOKUP(HEX2DEC(MID(F19,4,1)),VC!A1:D16)</f>
        <v>13</v>
      </c>
      <c r="P19" s="2"/>
      <c r="Q19" s="9">
        <f t="shared" si="19"/>
        <v>32</v>
      </c>
      <c r="R19" s="9" t="str">
        <f t="shared" si="20"/>
        <v>1</v>
      </c>
      <c r="S19" s="9" t="str">
        <f t="shared" si="21"/>
        <v>20</v>
      </c>
      <c r="T19" s="9">
        <f t="shared" si="13"/>
        <v>32</v>
      </c>
      <c r="U19" s="9" t="str">
        <f t="shared" si="22"/>
        <v>0120</v>
      </c>
      <c r="V19" s="9">
        <f t="shared" si="23"/>
        <v>0</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24">B21+1</f>
        <v>7</v>
      </c>
      <c r="C20" s="9" t="str">
        <f t="shared" si="15"/>
        <v>1</v>
      </c>
      <c r="D20" s="9" t="str">
        <f t="shared" si="16"/>
        <v>7</v>
      </c>
      <c r="E20" s="9">
        <f t="shared" ref="E20:E25" si="25">E21+1</f>
        <v>7</v>
      </c>
      <c r="F20" s="9" t="str">
        <f t="shared" si="17"/>
        <v>0107</v>
      </c>
      <c r="G20" s="10">
        <f t="shared" si="18"/>
        <v>0</v>
      </c>
      <c r="H20" s="10"/>
      <c r="I20" s="10"/>
      <c r="J20" s="10"/>
      <c r="K20" s="11"/>
      <c r="L20" s="11"/>
      <c r="M20" s="10">
        <f>LOOKUP(HEX2DEC(MID(F20,4,1)),VC!A1:C16)</f>
        <v>9</v>
      </c>
      <c r="N20" s="10">
        <f>LOOKUP(HEX2DEC(MID(F20,4,1)),VC!A1:B16)</f>
        <v>5</v>
      </c>
      <c r="O20" s="10">
        <f>LOOKUP(HEX2DEC(MID(F20,4,1)),VC!A1:D16)</f>
        <v>12</v>
      </c>
      <c r="P20" s="2"/>
      <c r="Q20" s="9">
        <f t="shared" si="19"/>
        <v>31</v>
      </c>
      <c r="R20" s="9" t="str">
        <f t="shared" si="20"/>
        <v>1</v>
      </c>
      <c r="S20" s="9" t="str">
        <f t="shared" si="21"/>
        <v>1F</v>
      </c>
      <c r="T20" s="9">
        <f t="shared" ref="T20:T25" si="26">T21+1</f>
        <v>31</v>
      </c>
      <c r="U20" s="9" t="str">
        <f t="shared" si="22"/>
        <v>011F</v>
      </c>
      <c r="V20" s="9">
        <f t="shared" si="23"/>
        <v>0</v>
      </c>
      <c r="W20" s="9"/>
      <c r="X20" s="9"/>
      <c r="Y20" s="11"/>
      <c r="Z20" s="11"/>
      <c r="AA20" s="11"/>
      <c r="AB20" s="10">
        <f>LOOKUP(HEX2DEC(MID(U20,4,1)),VC!A1:C16)</f>
        <v>9</v>
      </c>
      <c r="AC20" s="10">
        <f>LOOKUP(HEX2DEC(MID(U20,4,1)),VC!A1:B16)</f>
        <v>5</v>
      </c>
      <c r="AD20" s="10">
        <f>LOOKUP(HEX2DEC(MID(U20,4,1)),VC!A1:D16)</f>
        <v>10</v>
      </c>
    </row>
    <row r="21" spans="2:36" ht="15" customHeight="1" x14ac:dyDescent="0.25">
      <c r="B21" s="9">
        <f t="shared" si="24"/>
        <v>6</v>
      </c>
      <c r="C21" s="9" t="str">
        <f t="shared" si="15"/>
        <v>1</v>
      </c>
      <c r="D21" s="9" t="str">
        <f t="shared" si="16"/>
        <v>6</v>
      </c>
      <c r="E21" s="9">
        <f t="shared" si="25"/>
        <v>6</v>
      </c>
      <c r="F21" s="9" t="str">
        <f t="shared" si="17"/>
        <v>0106</v>
      </c>
      <c r="G21" s="10">
        <f t="shared" si="18"/>
        <v>0</v>
      </c>
      <c r="H21" s="10"/>
      <c r="I21" s="10"/>
      <c r="J21" s="10"/>
      <c r="K21" s="11"/>
      <c r="L21" s="11"/>
      <c r="M21" s="10">
        <f>LOOKUP(HEX2DEC(MID(F21,4,1)),VC!A1:C16)</f>
        <v>8</v>
      </c>
      <c r="N21" s="10">
        <f>LOOKUP(HEX2DEC(MID(F21,4,1)),VC!A1:B16)</f>
        <v>4</v>
      </c>
      <c r="O21" s="10">
        <f>LOOKUP(HEX2DEC(MID(F21,4,1)),VC!A1:D16)</f>
        <v>11</v>
      </c>
      <c r="P21" s="2"/>
      <c r="Q21" s="9">
        <f t="shared" si="19"/>
        <v>30</v>
      </c>
      <c r="R21" s="9" t="str">
        <f t="shared" si="20"/>
        <v>1</v>
      </c>
      <c r="S21" s="9" t="str">
        <f t="shared" si="21"/>
        <v>1E</v>
      </c>
      <c r="T21" s="9">
        <f t="shared" si="26"/>
        <v>30</v>
      </c>
      <c r="U21" s="9" t="str">
        <f t="shared" si="22"/>
        <v>011E</v>
      </c>
      <c r="V21" s="9">
        <f t="shared" si="23"/>
        <v>0</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24"/>
        <v>5</v>
      </c>
      <c r="C22" s="9" t="str">
        <f t="shared" si="15"/>
        <v>1</v>
      </c>
      <c r="D22" s="9" t="str">
        <f t="shared" si="16"/>
        <v>5</v>
      </c>
      <c r="E22" s="9">
        <f t="shared" si="25"/>
        <v>5</v>
      </c>
      <c r="F22" s="9" t="str">
        <f t="shared" si="17"/>
        <v>0105</v>
      </c>
      <c r="G22" s="10">
        <f t="shared" si="18"/>
        <v>0</v>
      </c>
      <c r="H22" s="10"/>
      <c r="I22" s="10"/>
      <c r="J22" s="10"/>
      <c r="K22" s="11"/>
      <c r="L22" s="11"/>
      <c r="M22" s="10">
        <f>LOOKUP(HEX2DEC(MID(F22,4,1)),VC!A1:C16)</f>
        <v>9</v>
      </c>
      <c r="N22" s="10">
        <f>LOOKUP(HEX2DEC(MID(F22,4,1)),VC!A1:B16)</f>
        <v>3</v>
      </c>
      <c r="O22" s="10">
        <f>LOOKUP(HEX2DEC(MID(F22,4,1)),VC!A1:D16)</f>
        <v>10</v>
      </c>
      <c r="P22" s="2"/>
      <c r="Q22" s="9">
        <f t="shared" si="19"/>
        <v>29</v>
      </c>
      <c r="R22" s="9" t="str">
        <f t="shared" si="20"/>
        <v>1</v>
      </c>
      <c r="S22" s="9" t="str">
        <f t="shared" si="21"/>
        <v>1D</v>
      </c>
      <c r="T22" s="9">
        <f t="shared" si="26"/>
        <v>29</v>
      </c>
      <c r="U22" s="9" t="str">
        <f t="shared" si="22"/>
        <v>011D</v>
      </c>
      <c r="V22" s="9">
        <f t="shared" si="23"/>
        <v>0</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24"/>
        <v>4</v>
      </c>
      <c r="C23" s="9" t="str">
        <f t="shared" si="15"/>
        <v>1</v>
      </c>
      <c r="D23" s="9" t="str">
        <f t="shared" si="16"/>
        <v>4</v>
      </c>
      <c r="E23" s="9">
        <f t="shared" si="25"/>
        <v>4</v>
      </c>
      <c r="F23" s="9" t="str">
        <f t="shared" si="17"/>
        <v>0104</v>
      </c>
      <c r="G23" s="10">
        <f t="shared" si="18"/>
        <v>0</v>
      </c>
      <c r="H23" s="10"/>
      <c r="I23" s="10"/>
      <c r="J23" s="10"/>
      <c r="K23" s="11"/>
      <c r="L23" s="11"/>
      <c r="M23" s="10">
        <f>LOOKUP(HEX2DEC(MID(F23,4,1)),VC!A1:C16)</f>
        <v>8</v>
      </c>
      <c r="N23" s="10">
        <f>LOOKUP(HEX2DEC(MID(F23,4,1)),VC!A1:B16)</f>
        <v>2</v>
      </c>
      <c r="O23" s="10">
        <f>LOOKUP(HEX2DEC(MID(F23,4,1)),VC!A1:D16)</f>
        <v>14</v>
      </c>
      <c r="P23" s="2"/>
      <c r="Q23" s="9">
        <f t="shared" si="19"/>
        <v>28</v>
      </c>
      <c r="R23" s="9" t="str">
        <f t="shared" si="20"/>
        <v>1</v>
      </c>
      <c r="S23" s="9" t="str">
        <f t="shared" si="21"/>
        <v>1C</v>
      </c>
      <c r="T23" s="9">
        <f t="shared" si="26"/>
        <v>28</v>
      </c>
      <c r="U23" s="9" t="str">
        <f t="shared" si="22"/>
        <v>011C</v>
      </c>
      <c r="V23" s="9">
        <f t="shared" si="23"/>
        <v>0</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24"/>
        <v>3</v>
      </c>
      <c r="C24" s="9" t="str">
        <f t="shared" si="15"/>
        <v>1</v>
      </c>
      <c r="D24" s="9" t="str">
        <f t="shared" si="16"/>
        <v>3</v>
      </c>
      <c r="E24" s="9">
        <f t="shared" si="25"/>
        <v>3</v>
      </c>
      <c r="F24" s="9" t="str">
        <f t="shared" si="17"/>
        <v>0103</v>
      </c>
      <c r="G24" s="10">
        <f t="shared" si="18"/>
        <v>0</v>
      </c>
      <c r="H24" s="10"/>
      <c r="I24" s="10"/>
      <c r="J24" s="10"/>
      <c r="K24" s="11"/>
      <c r="L24" s="11"/>
      <c r="M24" s="10">
        <f>LOOKUP(HEX2DEC(MID(F24,4,1)),VC!A1:C16)</f>
        <v>9</v>
      </c>
      <c r="N24" s="10">
        <f>LOOKUP(HEX2DEC(MID(F24,4,1)),VC!A1:B16)</f>
        <v>5</v>
      </c>
      <c r="O24" s="10">
        <f>LOOKUP(HEX2DEC(MID(F24,4,1)),VC!A1:D16)</f>
        <v>13</v>
      </c>
      <c r="P24" s="2"/>
      <c r="Q24" s="9">
        <f t="shared" si="19"/>
        <v>27</v>
      </c>
      <c r="R24" s="9" t="str">
        <f t="shared" si="20"/>
        <v>1</v>
      </c>
      <c r="S24" s="9" t="str">
        <f t="shared" si="21"/>
        <v>1B</v>
      </c>
      <c r="T24" s="9">
        <f t="shared" si="26"/>
        <v>27</v>
      </c>
      <c r="U24" s="9" t="str">
        <f t="shared" si="22"/>
        <v>011B</v>
      </c>
      <c r="V24" s="9">
        <f t="shared" si="23"/>
        <v>0</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24"/>
        <v>2</v>
      </c>
      <c r="C25" s="9" t="str">
        <f t="shared" si="15"/>
        <v>1</v>
      </c>
      <c r="D25" s="9" t="str">
        <f t="shared" si="16"/>
        <v>2</v>
      </c>
      <c r="E25" s="9">
        <f t="shared" si="25"/>
        <v>2</v>
      </c>
      <c r="F25" s="9" t="str">
        <f t="shared" si="17"/>
        <v>0102</v>
      </c>
      <c r="G25" s="10">
        <f t="shared" si="18"/>
        <v>0</v>
      </c>
      <c r="H25" s="10"/>
      <c r="I25" s="10"/>
      <c r="J25" s="10"/>
      <c r="K25" s="11"/>
      <c r="L25" s="11"/>
      <c r="M25" s="10">
        <f>LOOKUP(HEX2DEC(MID(F25,4,1)),VC!A1:C16)</f>
        <v>8</v>
      </c>
      <c r="N25" s="10">
        <f>LOOKUP(HEX2DEC(MID(F25,4,1)),VC!A1:B16)</f>
        <v>4</v>
      </c>
      <c r="O25" s="10">
        <f>LOOKUP(HEX2DEC(MID(F25,4,1)),VC!A1:D16)</f>
        <v>12</v>
      </c>
      <c r="P25" s="2"/>
      <c r="Q25" s="9">
        <f t="shared" si="19"/>
        <v>26</v>
      </c>
      <c r="R25" s="9" t="str">
        <f t="shared" si="20"/>
        <v>1</v>
      </c>
      <c r="S25" s="9" t="str">
        <f t="shared" si="21"/>
        <v>1A</v>
      </c>
      <c r="T25" s="9">
        <f t="shared" si="26"/>
        <v>26</v>
      </c>
      <c r="U25" s="9" t="str">
        <f t="shared" si="22"/>
        <v>011A</v>
      </c>
      <c r="V25" s="9">
        <f t="shared" si="23"/>
        <v>0</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1</v>
      </c>
      <c r="E26" s="9">
        <f>E27+1</f>
        <v>1</v>
      </c>
      <c r="F26" s="9" t="str">
        <f t="shared" si="17"/>
        <v>0101</v>
      </c>
      <c r="G26" s="10">
        <f>G27</f>
        <v>0</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19</v>
      </c>
      <c r="T26" s="9">
        <f>T27+1</f>
        <v>25</v>
      </c>
      <c r="U26" s="9" t="str">
        <f t="shared" si="22"/>
        <v>0119</v>
      </c>
      <c r="V26" s="9">
        <f>V27</f>
        <v>0</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SUBSTITUTE(SUBSTITUTE(Switch_x!B5,"0x0",""),"0x","")</f>
        <v>1</v>
      </c>
      <c r="D27" s="9">
        <v>0</v>
      </c>
      <c r="E27" s="9">
        <v>0</v>
      </c>
      <c r="F27" s="9" t="str">
        <f>IF(HEX2DEC(D27)&gt;15,IF(HEX2DEC(C27) &gt; 15,CONCATENATE(C27,D27),CONCATENATE("0",C27,D27)),IF(HEX2DEC(C27) &gt; 15,CONCATENATE(C27,"0",D27),CONCATENATE("0",C27,"0",D27)))</f>
        <v>0100</v>
      </c>
      <c r="G27" s="10">
        <f>Switch_x!B2</f>
        <v>0</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18</v>
      </c>
      <c r="T27" s="9">
        <f>E4+1</f>
        <v>24</v>
      </c>
      <c r="U27" s="9" t="str">
        <f>IF(HEX2DEC(S27)&gt;15,IF(HEX2DEC(R27) &gt; 15,CONCATENATE(R27,S27),CONCATENATE("0",R27,S27)),IF(HEX2DEC(R27) &gt; 15,CONCATENATE(R27,"0",S27),CONCATENATE("0",R27,"0",S27)))</f>
        <v>0118</v>
      </c>
      <c r="V27" s="9">
        <f>G4</f>
        <v>0</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3" t="s">
        <v>2</v>
      </c>
      <c r="G29" s="34"/>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3" t="s">
        <v>3</v>
      </c>
      <c r="G31" s="34"/>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F29:G29"/>
    <mergeCell ref="F31:G31"/>
    <mergeCell ref="B1:AD1"/>
  </mergeCells>
  <dataValidations count="1">
    <dataValidation type="list" allowBlank="1" showInputMessage="1" showErrorMessage="1" error="Valid options are: Clear (empty cell), &quot;Enable&quot;, &quot;Disable&quot;, or Persistent Disable." sqref="H4:H27 J4:J27 W4:W27 Y4:Y27" xr:uid="{3694F5C4-0EF2-455C-8CA5-3F9370C97E32}">
      <formula1>"Enable,Disable,Persistent Disable"</formula1>
    </dataValidation>
  </dataValidations>
  <pageMargins left="0.7" right="0.7" top="0.75" bottom="0.75" header="0.3" footer="0.3"/>
  <pageSetup orientation="landscape" horizont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B1:AJ33"/>
  <sheetViews>
    <sheetView topLeftCell="M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5" t="s">
        <v>15</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3" s="12" customFormat="1" ht="60" x14ac:dyDescent="0.25">
      <c r="B2" s="13" t="s">
        <v>0</v>
      </c>
      <c r="C2" s="13" t="s">
        <v>7</v>
      </c>
      <c r="D2" s="13" t="s">
        <v>8</v>
      </c>
      <c r="E2" s="13" t="s">
        <v>296</v>
      </c>
      <c r="F2" s="13" t="s">
        <v>6</v>
      </c>
      <c r="G2" s="13" t="s">
        <v>5</v>
      </c>
      <c r="H2" s="13" t="s">
        <v>413</v>
      </c>
      <c r="I2" s="13" t="s">
        <v>317</v>
      </c>
      <c r="J2" s="13" t="s">
        <v>416</v>
      </c>
      <c r="K2" s="13" t="s">
        <v>4</v>
      </c>
      <c r="L2" s="13" t="s">
        <v>277</v>
      </c>
      <c r="M2" s="13" t="s">
        <v>9</v>
      </c>
      <c r="N2" s="13" t="s">
        <v>10</v>
      </c>
      <c r="O2" s="13" t="s">
        <v>11</v>
      </c>
      <c r="Q2" s="13" t="s">
        <v>0</v>
      </c>
      <c r="R2" s="13" t="s">
        <v>7</v>
      </c>
      <c r="S2" s="13" t="s">
        <v>8</v>
      </c>
      <c r="T2" s="13" t="s">
        <v>296</v>
      </c>
      <c r="U2" s="13" t="s">
        <v>6</v>
      </c>
      <c r="V2" s="13" t="s">
        <v>5</v>
      </c>
      <c r="W2" s="13" t="s">
        <v>413</v>
      </c>
      <c r="X2" s="13" t="s">
        <v>317</v>
      </c>
      <c r="Y2" s="13" t="s">
        <v>416</v>
      </c>
      <c r="Z2" s="13" t="s">
        <v>4</v>
      </c>
      <c r="AA2" s="13" t="s">
        <v>277</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47</v>
      </c>
      <c r="E4" s="6">
        <f t="shared" ref="E4:E18" si="3">E5+1</f>
        <v>119</v>
      </c>
      <c r="F4" s="7" t="str">
        <f t="shared" ref="F4:F26" si="4">IF(HEX2DEC(D4)&gt;15,IF(HEX2DEC(C4) &gt; 15,CONCATENATE(C4,D4),CONCATENATE("0",C4,D4)),IF(HEX2DEC(C4) &gt; 15,CONCATENATE(C4,"0",D4),CONCATENATE("0",C4,"0",D4)))</f>
        <v>0147</v>
      </c>
      <c r="G4" s="7">
        <f t="shared" ref="G4:G25" si="5">G5</f>
        <v>0</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5F</v>
      </c>
      <c r="T4" s="6">
        <f t="shared" ref="T4:T10" si="9">T5+1</f>
        <v>143</v>
      </c>
      <c r="U4" s="7" t="str">
        <f t="shared" ref="U4:U26" si="10">IF(HEX2DEC(S4)&gt;15,IF(HEX2DEC(R4) &gt; 15,CONCATENATE(R4,S4),CONCATENATE("0",R4,S4)),IF(HEX2DEC(R4) &gt; 15,CONCATENATE(R4,"0",S4),CONCATENATE("0",R4,"0",S4)))</f>
        <v>015F</v>
      </c>
      <c r="V4" s="7">
        <f t="shared" ref="V4:V25" si="11">V5</f>
        <v>0</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46</v>
      </c>
      <c r="E5" s="6">
        <f t="shared" si="3"/>
        <v>118</v>
      </c>
      <c r="F5" s="7" t="str">
        <f t="shared" si="4"/>
        <v>0146</v>
      </c>
      <c r="G5" s="7">
        <f t="shared" si="5"/>
        <v>0</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5E</v>
      </c>
      <c r="T5" s="6">
        <f t="shared" si="9"/>
        <v>142</v>
      </c>
      <c r="U5" s="7" t="str">
        <f t="shared" si="10"/>
        <v>015E</v>
      </c>
      <c r="V5" s="7">
        <f t="shared" si="11"/>
        <v>0</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45</v>
      </c>
      <c r="E6" s="6">
        <f t="shared" si="3"/>
        <v>117</v>
      </c>
      <c r="F6" s="7" t="str">
        <f t="shared" si="4"/>
        <v>0145</v>
      </c>
      <c r="G6" s="7">
        <f t="shared" si="5"/>
        <v>0</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5D</v>
      </c>
      <c r="T6" s="6">
        <f t="shared" si="9"/>
        <v>141</v>
      </c>
      <c r="U6" s="7" t="str">
        <f t="shared" si="10"/>
        <v>015D</v>
      </c>
      <c r="V6" s="7">
        <f t="shared" si="11"/>
        <v>0</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44</v>
      </c>
      <c r="E7" s="6">
        <f t="shared" si="3"/>
        <v>116</v>
      </c>
      <c r="F7" s="7" t="str">
        <f t="shared" si="4"/>
        <v>0144</v>
      </c>
      <c r="G7" s="7">
        <f t="shared" si="5"/>
        <v>0</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5C</v>
      </c>
      <c r="T7" s="6">
        <f t="shared" si="9"/>
        <v>140</v>
      </c>
      <c r="U7" s="7" t="str">
        <f t="shared" si="10"/>
        <v>015C</v>
      </c>
      <c r="V7" s="7">
        <f t="shared" si="11"/>
        <v>0</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43</v>
      </c>
      <c r="E8" s="6">
        <f t="shared" si="3"/>
        <v>115</v>
      </c>
      <c r="F8" s="7" t="str">
        <f t="shared" si="4"/>
        <v>0143</v>
      </c>
      <c r="G8" s="7">
        <f t="shared" si="5"/>
        <v>0</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5B</v>
      </c>
      <c r="T8" s="6">
        <f t="shared" si="9"/>
        <v>139</v>
      </c>
      <c r="U8" s="7" t="str">
        <f t="shared" si="10"/>
        <v>015B</v>
      </c>
      <c r="V8" s="7">
        <f t="shared" si="11"/>
        <v>0</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42</v>
      </c>
      <c r="E9" s="6">
        <f t="shared" si="3"/>
        <v>114</v>
      </c>
      <c r="F9" s="7" t="str">
        <f t="shared" si="4"/>
        <v>0142</v>
      </c>
      <c r="G9" s="7">
        <f t="shared" si="5"/>
        <v>0</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5A</v>
      </c>
      <c r="T9" s="6">
        <f t="shared" si="9"/>
        <v>138</v>
      </c>
      <c r="U9" s="7" t="str">
        <f t="shared" si="10"/>
        <v>015A</v>
      </c>
      <c r="V9" s="7">
        <f t="shared" si="11"/>
        <v>0</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41</v>
      </c>
      <c r="E10" s="6">
        <f t="shared" si="3"/>
        <v>113</v>
      </c>
      <c r="F10" s="7" t="str">
        <f t="shared" si="4"/>
        <v>0141</v>
      </c>
      <c r="G10" s="7">
        <f t="shared" si="5"/>
        <v>0</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59</v>
      </c>
      <c r="T10" s="6">
        <f t="shared" si="9"/>
        <v>137</v>
      </c>
      <c r="U10" s="7" t="str">
        <f t="shared" si="10"/>
        <v>0159</v>
      </c>
      <c r="V10" s="7">
        <f t="shared" si="11"/>
        <v>0</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40</v>
      </c>
      <c r="E11" s="6">
        <f t="shared" si="3"/>
        <v>112</v>
      </c>
      <c r="F11" s="7" t="str">
        <f t="shared" si="4"/>
        <v>0140</v>
      </c>
      <c r="G11" s="7">
        <f t="shared" si="5"/>
        <v>0</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58</v>
      </c>
      <c r="T11" s="6">
        <f>T12+1</f>
        <v>136</v>
      </c>
      <c r="U11" s="7" t="str">
        <f t="shared" si="10"/>
        <v>0158</v>
      </c>
      <c r="V11" s="7">
        <f t="shared" si="11"/>
        <v>0</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3F</v>
      </c>
      <c r="E12" s="6">
        <f t="shared" si="3"/>
        <v>111</v>
      </c>
      <c r="F12" s="7" t="str">
        <f t="shared" si="4"/>
        <v>013F</v>
      </c>
      <c r="G12" s="7">
        <f t="shared" si="5"/>
        <v>0</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57</v>
      </c>
      <c r="T12" s="9">
        <f t="shared" ref="T12:T25" si="12">T13+1</f>
        <v>135</v>
      </c>
      <c r="U12" s="9" t="str">
        <f t="shared" si="10"/>
        <v>0157</v>
      </c>
      <c r="V12" s="9">
        <f t="shared" si="11"/>
        <v>0</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3E</v>
      </c>
      <c r="E13" s="6">
        <f t="shared" si="3"/>
        <v>110</v>
      </c>
      <c r="F13" s="7" t="str">
        <f t="shared" si="4"/>
        <v>013E</v>
      </c>
      <c r="G13" s="7">
        <f t="shared" si="5"/>
        <v>0</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56</v>
      </c>
      <c r="T13" s="9">
        <f t="shared" si="12"/>
        <v>134</v>
      </c>
      <c r="U13" s="9" t="str">
        <f t="shared" si="10"/>
        <v>0156</v>
      </c>
      <c r="V13" s="9">
        <f t="shared" si="11"/>
        <v>0</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3D</v>
      </c>
      <c r="E14" s="6">
        <f t="shared" si="3"/>
        <v>109</v>
      </c>
      <c r="F14" s="7" t="str">
        <f t="shared" si="4"/>
        <v>013D</v>
      </c>
      <c r="G14" s="7">
        <f t="shared" si="5"/>
        <v>0</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55</v>
      </c>
      <c r="T14" s="9">
        <f t="shared" si="12"/>
        <v>133</v>
      </c>
      <c r="U14" s="9" t="str">
        <f t="shared" si="10"/>
        <v>0155</v>
      </c>
      <c r="V14" s="9">
        <f t="shared" si="11"/>
        <v>0</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3C</v>
      </c>
      <c r="E15" s="6">
        <f t="shared" si="3"/>
        <v>108</v>
      </c>
      <c r="F15" s="7" t="str">
        <f t="shared" si="4"/>
        <v>013C</v>
      </c>
      <c r="G15" s="7">
        <f t="shared" si="5"/>
        <v>0</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54</v>
      </c>
      <c r="T15" s="9">
        <f t="shared" si="12"/>
        <v>132</v>
      </c>
      <c r="U15" s="9" t="str">
        <f t="shared" si="10"/>
        <v>0154</v>
      </c>
      <c r="V15" s="9">
        <f t="shared" si="11"/>
        <v>0</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3B</v>
      </c>
      <c r="E16" s="6">
        <f t="shared" si="3"/>
        <v>107</v>
      </c>
      <c r="F16" s="7" t="str">
        <f t="shared" si="4"/>
        <v>013B</v>
      </c>
      <c r="G16" s="7">
        <f t="shared" si="5"/>
        <v>0</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53</v>
      </c>
      <c r="T16" s="9">
        <f t="shared" si="12"/>
        <v>131</v>
      </c>
      <c r="U16" s="9" t="str">
        <f t="shared" si="10"/>
        <v>0153</v>
      </c>
      <c r="V16" s="9">
        <f t="shared" si="11"/>
        <v>0</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3A</v>
      </c>
      <c r="E17" s="6">
        <f t="shared" si="3"/>
        <v>106</v>
      </c>
      <c r="F17" s="7" t="str">
        <f t="shared" si="4"/>
        <v>013A</v>
      </c>
      <c r="G17" s="7">
        <f t="shared" si="5"/>
        <v>0</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52</v>
      </c>
      <c r="T17" s="9">
        <f t="shared" si="12"/>
        <v>130</v>
      </c>
      <c r="U17" s="9" t="str">
        <f t="shared" si="10"/>
        <v>0152</v>
      </c>
      <c r="V17" s="9">
        <f t="shared" si="11"/>
        <v>0</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39</v>
      </c>
      <c r="E18" s="6">
        <f t="shared" si="3"/>
        <v>105</v>
      </c>
      <c r="F18" s="7" t="str">
        <f t="shared" si="4"/>
        <v>0139</v>
      </c>
      <c r="G18" s="7">
        <f t="shared" si="5"/>
        <v>0</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51</v>
      </c>
      <c r="T18" s="9">
        <f t="shared" si="12"/>
        <v>129</v>
      </c>
      <c r="U18" s="9" t="str">
        <f t="shared" si="10"/>
        <v>0151</v>
      </c>
      <c r="V18" s="9">
        <f t="shared" si="11"/>
        <v>0</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38</v>
      </c>
      <c r="E19" s="6">
        <f>E20+1</f>
        <v>104</v>
      </c>
      <c r="F19" s="7" t="str">
        <f t="shared" si="4"/>
        <v>0138</v>
      </c>
      <c r="G19" s="7">
        <f t="shared" si="5"/>
        <v>0</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50</v>
      </c>
      <c r="T19" s="9">
        <f t="shared" si="12"/>
        <v>128</v>
      </c>
      <c r="U19" s="9" t="str">
        <f t="shared" si="10"/>
        <v>0150</v>
      </c>
      <c r="V19" s="9">
        <f t="shared" si="11"/>
        <v>0</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3">B21+1</f>
        <v>7</v>
      </c>
      <c r="C20" s="9" t="str">
        <f t="shared" si="1"/>
        <v>1</v>
      </c>
      <c r="D20" s="9" t="str">
        <f t="shared" si="2"/>
        <v>37</v>
      </c>
      <c r="E20" s="9">
        <f t="shared" ref="E20:E25" si="14">E21+1</f>
        <v>103</v>
      </c>
      <c r="F20" s="9" t="str">
        <f t="shared" si="4"/>
        <v>0137</v>
      </c>
      <c r="G20" s="10">
        <f t="shared" si="5"/>
        <v>0</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4F</v>
      </c>
      <c r="T20" s="9">
        <f t="shared" si="12"/>
        <v>127</v>
      </c>
      <c r="U20" s="9" t="str">
        <f t="shared" si="10"/>
        <v>014F</v>
      </c>
      <c r="V20" s="9">
        <f t="shared" si="11"/>
        <v>0</v>
      </c>
      <c r="W20" s="9"/>
      <c r="X20" s="9"/>
      <c r="Y20" s="11"/>
      <c r="Z20" s="11"/>
      <c r="AA20" s="11"/>
      <c r="AB20" s="10">
        <f>LOOKUP(HEX2DEC(MID(U20,4,1)),VC!A1:C16)</f>
        <v>9</v>
      </c>
      <c r="AC20" s="10">
        <f>LOOKUP(HEX2DEC(MID(U20,4,1)),VC!A1:B16)</f>
        <v>5</v>
      </c>
      <c r="AD20" s="10">
        <f>LOOKUP(HEX2DEC(MID(U20,4,1)),VC!A1:D16)</f>
        <v>10</v>
      </c>
    </row>
    <row r="21" spans="2:36" ht="15" customHeight="1" x14ac:dyDescent="0.25">
      <c r="B21" s="9">
        <f t="shared" si="13"/>
        <v>6</v>
      </c>
      <c r="C21" s="9" t="str">
        <f t="shared" si="1"/>
        <v>1</v>
      </c>
      <c r="D21" s="9" t="str">
        <f t="shared" si="2"/>
        <v>36</v>
      </c>
      <c r="E21" s="9">
        <f t="shared" si="14"/>
        <v>102</v>
      </c>
      <c r="F21" s="9" t="str">
        <f t="shared" si="4"/>
        <v>0136</v>
      </c>
      <c r="G21" s="10">
        <f t="shared" si="5"/>
        <v>0</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4E</v>
      </c>
      <c r="T21" s="9">
        <f t="shared" si="12"/>
        <v>126</v>
      </c>
      <c r="U21" s="9" t="str">
        <f t="shared" si="10"/>
        <v>014E</v>
      </c>
      <c r="V21" s="9">
        <f t="shared" si="11"/>
        <v>0</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3"/>
        <v>5</v>
      </c>
      <c r="C22" s="9" t="str">
        <f t="shared" si="1"/>
        <v>1</v>
      </c>
      <c r="D22" s="9" t="str">
        <f t="shared" si="2"/>
        <v>35</v>
      </c>
      <c r="E22" s="9">
        <f t="shared" si="14"/>
        <v>101</v>
      </c>
      <c r="F22" s="9" t="str">
        <f t="shared" si="4"/>
        <v>0135</v>
      </c>
      <c r="G22" s="10">
        <f t="shared" si="5"/>
        <v>0</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4D</v>
      </c>
      <c r="T22" s="9">
        <f t="shared" si="12"/>
        <v>125</v>
      </c>
      <c r="U22" s="9" t="str">
        <f t="shared" si="10"/>
        <v>014D</v>
      </c>
      <c r="V22" s="9">
        <f t="shared" si="11"/>
        <v>0</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3"/>
        <v>4</v>
      </c>
      <c r="C23" s="9" t="str">
        <f t="shared" si="1"/>
        <v>1</v>
      </c>
      <c r="D23" s="9" t="str">
        <f t="shared" si="2"/>
        <v>34</v>
      </c>
      <c r="E23" s="9">
        <f t="shared" si="14"/>
        <v>100</v>
      </c>
      <c r="F23" s="9" t="str">
        <f t="shared" si="4"/>
        <v>0134</v>
      </c>
      <c r="G23" s="10">
        <f t="shared" si="5"/>
        <v>0</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4C</v>
      </c>
      <c r="T23" s="9">
        <f t="shared" si="12"/>
        <v>124</v>
      </c>
      <c r="U23" s="9" t="str">
        <f t="shared" si="10"/>
        <v>014C</v>
      </c>
      <c r="V23" s="9">
        <f t="shared" si="11"/>
        <v>0</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3"/>
        <v>3</v>
      </c>
      <c r="C24" s="9" t="str">
        <f t="shared" si="1"/>
        <v>1</v>
      </c>
      <c r="D24" s="9" t="str">
        <f t="shared" si="2"/>
        <v>33</v>
      </c>
      <c r="E24" s="9">
        <f t="shared" si="14"/>
        <v>99</v>
      </c>
      <c r="F24" s="9" t="str">
        <f t="shared" si="4"/>
        <v>0133</v>
      </c>
      <c r="G24" s="10">
        <f t="shared" si="5"/>
        <v>0</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4B</v>
      </c>
      <c r="T24" s="9">
        <f t="shared" si="12"/>
        <v>123</v>
      </c>
      <c r="U24" s="9" t="str">
        <f t="shared" si="10"/>
        <v>014B</v>
      </c>
      <c r="V24" s="9">
        <f t="shared" si="11"/>
        <v>0</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3"/>
        <v>2</v>
      </c>
      <c r="C25" s="9" t="str">
        <f t="shared" si="1"/>
        <v>1</v>
      </c>
      <c r="D25" s="9" t="str">
        <f t="shared" si="2"/>
        <v>32</v>
      </c>
      <c r="E25" s="9">
        <f t="shared" si="14"/>
        <v>98</v>
      </c>
      <c r="F25" s="9" t="str">
        <f t="shared" si="4"/>
        <v>0132</v>
      </c>
      <c r="G25" s="10">
        <f t="shared" si="5"/>
        <v>0</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4A</v>
      </c>
      <c r="T25" s="9">
        <f t="shared" si="12"/>
        <v>122</v>
      </c>
      <c r="U25" s="9" t="str">
        <f t="shared" si="10"/>
        <v>014A</v>
      </c>
      <c r="V25" s="9">
        <f t="shared" si="11"/>
        <v>0</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31</v>
      </c>
      <c r="E26" s="9">
        <f>E27+1</f>
        <v>97</v>
      </c>
      <c r="F26" s="9" t="str">
        <f t="shared" si="4"/>
        <v>0131</v>
      </c>
      <c r="G26" s="10">
        <f>G27</f>
        <v>0</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49</v>
      </c>
      <c r="T26" s="9">
        <f>T27+1</f>
        <v>121</v>
      </c>
      <c r="U26" s="9" t="str">
        <f t="shared" si="10"/>
        <v>0149</v>
      </c>
      <c r="V26" s="9">
        <f>V27</f>
        <v>0</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3'!R4</f>
        <v>1</v>
      </c>
      <c r="D27" s="9" t="str">
        <f>DEC2HEX(HEX2DEC('Slot 3'!S4)+1)</f>
        <v>30</v>
      </c>
      <c r="E27" s="9">
        <v>96</v>
      </c>
      <c r="F27" s="9" t="str">
        <f>IF(HEX2DEC(D27)&gt;15,IF(HEX2DEC(C27) &gt; 15,CONCATENATE(C27,D27),CONCATENATE("0",C27,D27)),IF(HEX2DEC(C27) &gt; 15,CONCATENATE(C27,"0",D27),CONCATENATE("0",C27,"0",D27)))</f>
        <v>0130</v>
      </c>
      <c r="G27" s="10">
        <f>'Slot 3'!V4</f>
        <v>0</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48</v>
      </c>
      <c r="T27" s="9">
        <f>E4+1</f>
        <v>120</v>
      </c>
      <c r="U27" s="9" t="str">
        <f>IF(HEX2DEC(S27)&gt;15,IF(HEX2DEC(R27) &gt; 15,CONCATENATE(R27,S27),CONCATENATE("0",R27,S27)),IF(HEX2DEC(R27) &gt; 15,CONCATENATE(R27,"0",S27),CONCATENATE("0",R27,"0",S27)))</f>
        <v>0148</v>
      </c>
      <c r="V27" s="9">
        <f>G4</f>
        <v>0</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3" t="s">
        <v>2</v>
      </c>
      <c r="G29" s="34"/>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3" t="s">
        <v>3</v>
      </c>
      <c r="G31" s="34"/>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A492ADFB-8C5C-4BC1-81B5-2F99875534FA}">
      <formula1>"Enable,Disable,Persistent Disable"</formula1>
    </dataValidation>
  </dataValidations>
  <pageMargins left="0.7" right="0.7" top="0.75" bottom="0.75" header="0.3" footer="0.3"/>
  <pageSetup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B1:X25"/>
  <sheetViews>
    <sheetView topLeftCell="B1" workbookViewId="0">
      <selection activeCell="E11" sqref="E11"/>
    </sheetView>
  </sheetViews>
  <sheetFormatPr defaultRowHeight="15" x14ac:dyDescent="0.25"/>
  <cols>
    <col min="1" max="1" width="2.85546875" customWidth="1"/>
    <col min="2" max="2" width="4.85546875" style="1" customWidth="1"/>
    <col min="3" max="3" width="6.5703125" style="1" customWidth="1"/>
    <col min="4" max="4" width="4.5703125" style="3" customWidth="1"/>
    <col min="5" max="5" width="7.7109375" style="3" customWidth="1"/>
    <col min="6" max="6" width="22.7109375" style="3" customWidth="1"/>
    <col min="7" max="7" width="7.7109375" style="3" customWidth="1"/>
    <col min="8" max="9" width="22.7109375" style="5" customWidth="1"/>
    <col min="10" max="10" width="1.85546875" customWidth="1"/>
    <col min="11" max="11" width="4.85546875" customWidth="1"/>
    <col min="12" max="12" width="6.5703125" style="1" customWidth="1"/>
    <col min="13" max="13" width="4.5703125" style="1" customWidth="1"/>
    <col min="14" max="14" width="7.7109375" style="1" customWidth="1"/>
    <col min="15" max="15" width="22.7109375" style="1" customWidth="1"/>
    <col min="16" max="16" width="7.7109375" style="1" customWidth="1"/>
    <col min="17" max="18" width="22.7109375" style="5" customWidth="1"/>
  </cols>
  <sheetData>
    <row r="1" spans="2:21" x14ac:dyDescent="0.25">
      <c r="B1" s="35" t="s">
        <v>301</v>
      </c>
      <c r="C1" s="36"/>
      <c r="D1" s="37"/>
      <c r="E1" s="37"/>
      <c r="F1" s="37"/>
      <c r="G1" s="37"/>
      <c r="H1" s="37"/>
      <c r="I1" s="37"/>
      <c r="J1" s="37"/>
      <c r="K1" s="37"/>
      <c r="L1" s="37"/>
      <c r="M1" s="37"/>
      <c r="N1" s="37"/>
      <c r="O1" s="37"/>
      <c r="P1" s="37"/>
      <c r="Q1" s="37"/>
      <c r="R1" s="37"/>
    </row>
    <row r="2" spans="2:21" s="12" customFormat="1" ht="30" x14ac:dyDescent="0.25">
      <c r="B2" s="13" t="s">
        <v>0</v>
      </c>
      <c r="C2" s="13" t="s">
        <v>296</v>
      </c>
      <c r="D2" s="13" t="s">
        <v>5</v>
      </c>
      <c r="E2" s="13" t="s">
        <v>413</v>
      </c>
      <c r="F2" s="13" t="s">
        <v>317</v>
      </c>
      <c r="G2" s="13" t="s">
        <v>416</v>
      </c>
      <c r="H2" s="13" t="s">
        <v>274</v>
      </c>
      <c r="I2" s="21" t="s">
        <v>277</v>
      </c>
      <c r="K2" s="13" t="s">
        <v>0</v>
      </c>
      <c r="L2" s="13" t="s">
        <v>296</v>
      </c>
      <c r="M2" s="13" t="s">
        <v>5</v>
      </c>
      <c r="N2" s="13" t="s">
        <v>413</v>
      </c>
      <c r="O2" s="13" t="s">
        <v>317</v>
      </c>
      <c r="P2" s="13" t="s">
        <v>416</v>
      </c>
      <c r="Q2" s="13" t="s">
        <v>274</v>
      </c>
      <c r="R2" s="21" t="s">
        <v>277</v>
      </c>
    </row>
    <row r="3" spans="2:21" ht="6" customHeight="1" x14ac:dyDescent="0.25">
      <c r="K3" s="1"/>
    </row>
    <row r="4" spans="2:21" ht="15" customHeight="1" x14ac:dyDescent="0.25">
      <c r="B4" s="9">
        <f t="shared" ref="B4:C17" si="0">B5+1</f>
        <v>15</v>
      </c>
      <c r="C4" s="9">
        <f t="shared" si="0"/>
        <v>399</v>
      </c>
      <c r="D4" s="9">
        <f t="shared" ref="D4:D17" si="1">D5</f>
        <v>128</v>
      </c>
      <c r="E4" s="9"/>
      <c r="F4" s="9"/>
      <c r="G4" s="9"/>
      <c r="H4" s="11"/>
      <c r="I4" s="11"/>
      <c r="J4" s="2"/>
      <c r="K4" s="6">
        <f t="shared" ref="K4:L17" si="2">K5+1</f>
        <v>31</v>
      </c>
      <c r="L4" s="6">
        <f t="shared" si="2"/>
        <v>415</v>
      </c>
      <c r="M4" s="6">
        <f t="shared" ref="M4:M17" si="3">M5</f>
        <v>128</v>
      </c>
      <c r="N4" s="7"/>
      <c r="O4" s="7"/>
      <c r="P4" s="7"/>
      <c r="Q4" s="8"/>
      <c r="R4" s="8"/>
    </row>
    <row r="5" spans="2:21" ht="15" customHeight="1" x14ac:dyDescent="0.25">
      <c r="B5" s="9">
        <f t="shared" si="0"/>
        <v>14</v>
      </c>
      <c r="C5" s="9">
        <f t="shared" si="0"/>
        <v>398</v>
      </c>
      <c r="D5" s="9">
        <f t="shared" si="1"/>
        <v>128</v>
      </c>
      <c r="E5" s="9"/>
      <c r="F5" s="9"/>
      <c r="G5" s="9"/>
      <c r="H5" s="11"/>
      <c r="I5" s="11"/>
      <c r="J5" s="2"/>
      <c r="K5" s="6">
        <f t="shared" si="2"/>
        <v>30</v>
      </c>
      <c r="L5" s="6">
        <f t="shared" si="2"/>
        <v>414</v>
      </c>
      <c r="M5" s="6">
        <f t="shared" si="3"/>
        <v>128</v>
      </c>
      <c r="N5" s="7"/>
      <c r="O5" s="7"/>
      <c r="P5" s="7"/>
      <c r="Q5" s="8"/>
      <c r="R5" s="8"/>
    </row>
    <row r="6" spans="2:21" ht="15" customHeight="1" x14ac:dyDescent="0.25">
      <c r="B6" s="9">
        <f t="shared" si="0"/>
        <v>13</v>
      </c>
      <c r="C6" s="9">
        <f t="shared" si="0"/>
        <v>397</v>
      </c>
      <c r="D6" s="9">
        <f t="shared" si="1"/>
        <v>128</v>
      </c>
      <c r="E6" s="9"/>
      <c r="F6" s="9"/>
      <c r="G6" s="9"/>
      <c r="H6" s="11"/>
      <c r="I6" s="11"/>
      <c r="J6" s="2"/>
      <c r="K6" s="6">
        <f t="shared" si="2"/>
        <v>29</v>
      </c>
      <c r="L6" s="6">
        <f t="shared" si="2"/>
        <v>413</v>
      </c>
      <c r="M6" s="6">
        <f t="shared" si="3"/>
        <v>128</v>
      </c>
      <c r="N6" s="7"/>
      <c r="O6" s="7"/>
      <c r="P6" s="7"/>
      <c r="Q6" s="8"/>
      <c r="R6" s="8"/>
    </row>
    <row r="7" spans="2:21" ht="15" customHeight="1" x14ac:dyDescent="0.25">
      <c r="B7" s="9">
        <f t="shared" si="0"/>
        <v>12</v>
      </c>
      <c r="C7" s="9">
        <f t="shared" si="0"/>
        <v>396</v>
      </c>
      <c r="D7" s="9">
        <f t="shared" si="1"/>
        <v>128</v>
      </c>
      <c r="E7" s="9"/>
      <c r="F7" s="9"/>
      <c r="G7" s="9"/>
      <c r="H7" s="11"/>
      <c r="I7" s="11"/>
      <c r="J7" s="2"/>
      <c r="K7" s="6">
        <f t="shared" si="2"/>
        <v>28</v>
      </c>
      <c r="L7" s="6">
        <f t="shared" si="2"/>
        <v>412</v>
      </c>
      <c r="M7" s="6">
        <f t="shared" si="3"/>
        <v>128</v>
      </c>
      <c r="N7" s="7"/>
      <c r="O7" s="7"/>
      <c r="P7" s="7"/>
      <c r="Q7" s="8"/>
      <c r="R7" s="8"/>
    </row>
    <row r="8" spans="2:21" ht="15" customHeight="1" x14ac:dyDescent="0.25">
      <c r="B8" s="9">
        <f t="shared" si="0"/>
        <v>11</v>
      </c>
      <c r="C8" s="9">
        <f t="shared" si="0"/>
        <v>395</v>
      </c>
      <c r="D8" s="9">
        <f t="shared" si="1"/>
        <v>128</v>
      </c>
      <c r="E8" s="9"/>
      <c r="F8" s="9"/>
      <c r="G8" s="9"/>
      <c r="H8" s="11"/>
      <c r="I8" s="11"/>
      <c r="J8" s="2"/>
      <c r="K8" s="6">
        <f t="shared" si="2"/>
        <v>27</v>
      </c>
      <c r="L8" s="6">
        <f t="shared" si="2"/>
        <v>411</v>
      </c>
      <c r="M8" s="6">
        <f t="shared" si="3"/>
        <v>128</v>
      </c>
      <c r="N8" s="7"/>
      <c r="O8" s="7"/>
      <c r="P8" s="7"/>
      <c r="Q8" s="8"/>
      <c r="R8" s="8"/>
      <c r="U8" s="2"/>
    </row>
    <row r="9" spans="2:21" ht="15" customHeight="1" x14ac:dyDescent="0.25">
      <c r="B9" s="9">
        <f t="shared" si="0"/>
        <v>10</v>
      </c>
      <c r="C9" s="9">
        <f t="shared" si="0"/>
        <v>394</v>
      </c>
      <c r="D9" s="9">
        <f t="shared" si="1"/>
        <v>128</v>
      </c>
      <c r="E9" s="9"/>
      <c r="F9" s="9"/>
      <c r="G9" s="9"/>
      <c r="H9" s="11"/>
      <c r="I9" s="11"/>
      <c r="J9" s="2"/>
      <c r="K9" s="6">
        <f t="shared" si="2"/>
        <v>26</v>
      </c>
      <c r="L9" s="6">
        <f t="shared" si="2"/>
        <v>410</v>
      </c>
      <c r="M9" s="6">
        <f t="shared" si="3"/>
        <v>128</v>
      </c>
      <c r="N9" s="7"/>
      <c r="O9" s="7"/>
      <c r="P9" s="7"/>
      <c r="Q9" s="8"/>
      <c r="R9" s="8"/>
    </row>
    <row r="10" spans="2:21" ht="15" customHeight="1" x14ac:dyDescent="0.25">
      <c r="B10" s="9">
        <f t="shared" si="0"/>
        <v>9</v>
      </c>
      <c r="C10" s="9">
        <f t="shared" si="0"/>
        <v>393</v>
      </c>
      <c r="D10" s="9">
        <f t="shared" si="1"/>
        <v>128</v>
      </c>
      <c r="E10" s="9"/>
      <c r="F10" s="9"/>
      <c r="G10" s="9"/>
      <c r="H10" s="11"/>
      <c r="I10" s="11"/>
      <c r="J10" s="2"/>
      <c r="K10" s="6">
        <f t="shared" si="2"/>
        <v>25</v>
      </c>
      <c r="L10" s="6">
        <f t="shared" si="2"/>
        <v>409</v>
      </c>
      <c r="M10" s="6">
        <f t="shared" si="3"/>
        <v>128</v>
      </c>
      <c r="N10" s="7"/>
      <c r="O10" s="7"/>
      <c r="P10" s="7"/>
      <c r="Q10" s="8"/>
      <c r="R10" s="8"/>
    </row>
    <row r="11" spans="2:21" ht="15" customHeight="1" x14ac:dyDescent="0.25">
      <c r="B11" s="9">
        <f>B12+1</f>
        <v>8</v>
      </c>
      <c r="C11" s="9">
        <f t="shared" si="0"/>
        <v>392</v>
      </c>
      <c r="D11" s="9">
        <f t="shared" si="1"/>
        <v>128</v>
      </c>
      <c r="E11" s="9"/>
      <c r="F11" s="9"/>
      <c r="G11" s="9"/>
      <c r="H11" s="11"/>
      <c r="I11" s="11"/>
      <c r="J11" s="2"/>
      <c r="K11" s="6">
        <f t="shared" si="2"/>
        <v>24</v>
      </c>
      <c r="L11" s="6">
        <f t="shared" si="2"/>
        <v>408</v>
      </c>
      <c r="M11" s="6">
        <f t="shared" si="3"/>
        <v>128</v>
      </c>
      <c r="N11" s="7"/>
      <c r="O11" s="7"/>
      <c r="P11" s="7"/>
      <c r="Q11" s="8"/>
      <c r="R11" s="8"/>
    </row>
    <row r="12" spans="2:21" ht="15" customHeight="1" x14ac:dyDescent="0.25">
      <c r="B12" s="9">
        <f t="shared" ref="B12:B17" si="4">B13+1</f>
        <v>7</v>
      </c>
      <c r="C12" s="9">
        <f t="shared" si="0"/>
        <v>391</v>
      </c>
      <c r="D12" s="10">
        <f t="shared" si="1"/>
        <v>128</v>
      </c>
      <c r="E12" s="9"/>
      <c r="F12" s="9"/>
      <c r="G12" s="9"/>
      <c r="H12" s="11"/>
      <c r="I12" s="11"/>
      <c r="J12" s="2"/>
      <c r="K12" s="6">
        <f t="shared" si="2"/>
        <v>23</v>
      </c>
      <c r="L12" s="6">
        <f t="shared" si="2"/>
        <v>407</v>
      </c>
      <c r="M12" s="6">
        <f t="shared" si="3"/>
        <v>128</v>
      </c>
      <c r="N12" s="7"/>
      <c r="O12" s="7"/>
      <c r="P12" s="7"/>
      <c r="Q12" s="8"/>
      <c r="R12" s="8"/>
    </row>
    <row r="13" spans="2:21" ht="15" customHeight="1" x14ac:dyDescent="0.25">
      <c r="B13" s="9">
        <f t="shared" si="4"/>
        <v>6</v>
      </c>
      <c r="C13" s="9">
        <f t="shared" si="0"/>
        <v>390</v>
      </c>
      <c r="D13" s="10">
        <f t="shared" si="1"/>
        <v>128</v>
      </c>
      <c r="E13" s="9"/>
      <c r="F13" s="9"/>
      <c r="G13" s="9"/>
      <c r="H13" s="11"/>
      <c r="I13" s="11"/>
      <c r="J13" s="2"/>
      <c r="K13" s="6">
        <f t="shared" si="2"/>
        <v>22</v>
      </c>
      <c r="L13" s="6">
        <f t="shared" si="2"/>
        <v>406</v>
      </c>
      <c r="M13" s="6">
        <f t="shared" si="3"/>
        <v>128</v>
      </c>
      <c r="N13" s="7"/>
      <c r="O13" s="7"/>
      <c r="P13" s="7"/>
      <c r="Q13" s="8"/>
      <c r="R13" s="8"/>
    </row>
    <row r="14" spans="2:21" ht="15" customHeight="1" x14ac:dyDescent="0.25">
      <c r="B14" s="9">
        <f t="shared" si="4"/>
        <v>5</v>
      </c>
      <c r="C14" s="9">
        <f t="shared" si="0"/>
        <v>389</v>
      </c>
      <c r="D14" s="10">
        <f t="shared" si="1"/>
        <v>128</v>
      </c>
      <c r="E14" s="9"/>
      <c r="F14" s="9"/>
      <c r="G14" s="9"/>
      <c r="H14" s="11"/>
      <c r="I14" s="11"/>
      <c r="J14" s="2"/>
      <c r="K14" s="6">
        <f t="shared" si="2"/>
        <v>21</v>
      </c>
      <c r="L14" s="6">
        <f t="shared" si="2"/>
        <v>405</v>
      </c>
      <c r="M14" s="6">
        <f t="shared" si="3"/>
        <v>128</v>
      </c>
      <c r="N14" s="7"/>
      <c r="O14" s="7"/>
      <c r="P14" s="7"/>
      <c r="Q14" s="8"/>
      <c r="R14" s="8"/>
    </row>
    <row r="15" spans="2:21" ht="15" customHeight="1" x14ac:dyDescent="0.25">
      <c r="B15" s="9">
        <f t="shared" si="4"/>
        <v>4</v>
      </c>
      <c r="C15" s="9">
        <f t="shared" si="0"/>
        <v>388</v>
      </c>
      <c r="D15" s="10">
        <f t="shared" si="1"/>
        <v>128</v>
      </c>
      <c r="E15" s="9"/>
      <c r="F15" s="9"/>
      <c r="G15" s="9"/>
      <c r="H15" s="11"/>
      <c r="I15" s="11"/>
      <c r="J15" s="2"/>
      <c r="K15" s="6">
        <f t="shared" si="2"/>
        <v>20</v>
      </c>
      <c r="L15" s="6">
        <f t="shared" si="2"/>
        <v>404</v>
      </c>
      <c r="M15" s="6">
        <f t="shared" si="3"/>
        <v>128</v>
      </c>
      <c r="N15" s="7"/>
      <c r="O15" s="7"/>
      <c r="P15" s="7"/>
      <c r="Q15" s="8"/>
      <c r="R15" s="8"/>
    </row>
    <row r="16" spans="2:21" ht="15" customHeight="1" x14ac:dyDescent="0.25">
      <c r="B16" s="9">
        <f t="shared" si="4"/>
        <v>3</v>
      </c>
      <c r="C16" s="9">
        <f t="shared" si="0"/>
        <v>387</v>
      </c>
      <c r="D16" s="10">
        <f t="shared" si="1"/>
        <v>128</v>
      </c>
      <c r="E16" s="9"/>
      <c r="F16" s="9"/>
      <c r="G16" s="9"/>
      <c r="H16" s="11"/>
      <c r="I16" s="11"/>
      <c r="J16" s="2"/>
      <c r="K16" s="6">
        <f t="shared" si="2"/>
        <v>19</v>
      </c>
      <c r="L16" s="6">
        <f t="shared" si="2"/>
        <v>403</v>
      </c>
      <c r="M16" s="6">
        <f t="shared" si="3"/>
        <v>128</v>
      </c>
      <c r="N16" s="7"/>
      <c r="O16" s="7"/>
      <c r="P16" s="7"/>
      <c r="Q16" s="8"/>
      <c r="R16" s="8"/>
    </row>
    <row r="17" spans="2:24" ht="15" customHeight="1" x14ac:dyDescent="0.25">
      <c r="B17" s="9">
        <f t="shared" si="4"/>
        <v>2</v>
      </c>
      <c r="C17" s="9">
        <f t="shared" si="0"/>
        <v>386</v>
      </c>
      <c r="D17" s="10">
        <f t="shared" si="1"/>
        <v>128</v>
      </c>
      <c r="E17" s="9"/>
      <c r="F17" s="9"/>
      <c r="G17" s="9"/>
      <c r="H17" s="11"/>
      <c r="I17" s="11"/>
      <c r="J17" s="2"/>
      <c r="K17" s="6">
        <f t="shared" si="2"/>
        <v>18</v>
      </c>
      <c r="L17" s="6">
        <f t="shared" si="2"/>
        <v>402</v>
      </c>
      <c r="M17" s="6">
        <f t="shared" si="3"/>
        <v>128</v>
      </c>
      <c r="N17" s="7"/>
      <c r="O17" s="7"/>
      <c r="P17" s="7"/>
      <c r="Q17" s="8"/>
      <c r="R17" s="8"/>
    </row>
    <row r="18" spans="2:24" ht="15" customHeight="1" x14ac:dyDescent="0.25">
      <c r="B18" s="9">
        <f>B19+1</f>
        <v>1</v>
      </c>
      <c r="C18" s="9">
        <f>C19+1</f>
        <v>385</v>
      </c>
      <c r="D18" s="10">
        <f>D19</f>
        <v>128</v>
      </c>
      <c r="E18" s="9"/>
      <c r="F18" s="9"/>
      <c r="G18" s="9"/>
      <c r="H18" s="11"/>
      <c r="I18" s="11"/>
      <c r="J18" s="2"/>
      <c r="K18" s="6">
        <f>K19+1</f>
        <v>17</v>
      </c>
      <c r="L18" s="6">
        <f>L19+1</f>
        <v>401</v>
      </c>
      <c r="M18" s="6">
        <f>M19</f>
        <v>128</v>
      </c>
      <c r="N18" s="7"/>
      <c r="O18" s="7"/>
      <c r="P18" s="7"/>
      <c r="Q18" s="8"/>
      <c r="R18" s="8"/>
    </row>
    <row r="19" spans="2:24" ht="15" customHeight="1" x14ac:dyDescent="0.25">
      <c r="B19" s="9">
        <v>0</v>
      </c>
      <c r="C19" s="9">
        <v>384</v>
      </c>
      <c r="D19" s="10">
        <v>128</v>
      </c>
      <c r="E19" s="9"/>
      <c r="F19" s="9"/>
      <c r="G19" s="9"/>
      <c r="H19" s="11"/>
      <c r="I19" s="11"/>
      <c r="J19" s="2"/>
      <c r="K19" s="6">
        <f>B4+1</f>
        <v>16</v>
      </c>
      <c r="L19" s="6">
        <f>C4+1</f>
        <v>400</v>
      </c>
      <c r="M19" s="6">
        <f>D4</f>
        <v>128</v>
      </c>
      <c r="N19" s="7"/>
      <c r="O19" s="7"/>
      <c r="P19" s="7"/>
      <c r="Q19" s="8"/>
      <c r="R19" s="8"/>
    </row>
    <row r="21" spans="2:24" ht="11.1" customHeight="1" x14ac:dyDescent="0.25">
      <c r="B21" s="9"/>
      <c r="C21" s="23"/>
      <c r="D21" s="22"/>
      <c r="E21" s="22"/>
      <c r="F21" s="22"/>
      <c r="G21" s="22"/>
      <c r="H21" s="38" t="s">
        <v>2</v>
      </c>
      <c r="I21" s="38"/>
      <c r="J21" s="34"/>
      <c r="K21" s="4"/>
      <c r="L21" s="23"/>
      <c r="M21" s="14"/>
      <c r="N21" s="14"/>
      <c r="O21" s="14"/>
      <c r="P21" s="14"/>
      <c r="Q21" s="4"/>
      <c r="R21" s="4"/>
      <c r="S21" s="4"/>
      <c r="T21" s="4"/>
      <c r="U21" s="4"/>
      <c r="V21" s="4"/>
      <c r="W21" s="4"/>
      <c r="X21" s="4"/>
    </row>
    <row r="22" spans="2:24" ht="11.1" customHeight="1" x14ac:dyDescent="0.25">
      <c r="D22" s="14"/>
      <c r="E22" s="14"/>
      <c r="F22" s="14"/>
      <c r="G22" s="14"/>
      <c r="H22" s="4"/>
      <c r="I22" s="4"/>
      <c r="K22" s="4"/>
      <c r="M22" s="14"/>
      <c r="N22" s="14"/>
      <c r="O22" s="14"/>
      <c r="P22" s="14"/>
      <c r="Q22" s="4"/>
      <c r="R22" s="4"/>
      <c r="S22" s="4"/>
      <c r="T22" s="4"/>
      <c r="U22" s="4"/>
      <c r="V22" s="4"/>
      <c r="W22" s="4"/>
      <c r="X22" s="4"/>
    </row>
    <row r="23" spans="2:24" ht="11.1" customHeight="1" x14ac:dyDescent="0.25">
      <c r="B23" s="17"/>
      <c r="C23" s="24"/>
      <c r="D23" s="22"/>
      <c r="E23" s="22"/>
      <c r="F23" s="22"/>
      <c r="G23" s="22"/>
      <c r="H23" s="38" t="s">
        <v>3</v>
      </c>
      <c r="I23" s="38"/>
      <c r="J23" s="34"/>
      <c r="K23" s="4"/>
      <c r="L23" s="24"/>
      <c r="M23" s="14"/>
      <c r="N23" s="14"/>
      <c r="O23" s="14"/>
      <c r="P23" s="14"/>
      <c r="Q23" s="4"/>
      <c r="R23" s="4"/>
      <c r="S23" s="4"/>
      <c r="T23" s="4"/>
      <c r="U23" s="4"/>
      <c r="V23" s="4"/>
      <c r="W23" s="4"/>
      <c r="X23" s="4"/>
    </row>
    <row r="24" spans="2:24" ht="11.1" customHeight="1" x14ac:dyDescent="0.25">
      <c r="D24" s="14"/>
      <c r="E24" s="14"/>
      <c r="F24" s="14"/>
      <c r="G24" s="14"/>
      <c r="H24" s="4"/>
      <c r="I24" s="4"/>
      <c r="K24" s="4"/>
      <c r="M24" s="14"/>
      <c r="N24" s="14"/>
      <c r="O24" s="14"/>
      <c r="P24" s="14"/>
      <c r="Q24" s="4"/>
      <c r="R24" s="4"/>
      <c r="S24" s="4"/>
      <c r="T24" s="4"/>
      <c r="U24" s="4"/>
      <c r="V24" s="4"/>
      <c r="W24" s="4"/>
      <c r="X24" s="4"/>
    </row>
    <row r="25" spans="2:24" x14ac:dyDescent="0.25">
      <c r="K25" s="4"/>
      <c r="M25" s="14"/>
      <c r="N25" s="14"/>
      <c r="O25" s="14"/>
      <c r="P25" s="14"/>
      <c r="Q25" s="4"/>
      <c r="S25" s="4"/>
      <c r="T25" s="4"/>
      <c r="U25" s="4"/>
      <c r="V25" s="4"/>
      <c r="W25" s="4"/>
      <c r="X25" s="4"/>
    </row>
  </sheetData>
  <mergeCells count="3">
    <mergeCell ref="B1:R1"/>
    <mergeCell ref="H21:J21"/>
    <mergeCell ref="H23:J23"/>
  </mergeCells>
  <dataValidations count="1">
    <dataValidation type="list" allowBlank="1" showInputMessage="1" showErrorMessage="1" error="Valid options are: Clear (empty cell), &quot;Enable&quot;, &quot;Disable&quot;, or Persistent Disable." sqref="E4:E19 G4:G19 N4:N19 P4:P19" xr:uid="{8C16681F-3435-45DD-AFFD-4A1322B9C368}">
      <formula1>"Enable,Disable,Persistent Disable"</formula1>
    </dataValidation>
  </dataValidations>
  <pageMargins left="0.7" right="0.7" top="0.75" bottom="0.75" header="0.3" footer="0.3"/>
  <pageSetup orientation="landscape" horizontalDpi="4294967294"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B1:X25"/>
  <sheetViews>
    <sheetView workbookViewId="0">
      <selection activeCell="P12" sqref="P12"/>
    </sheetView>
  </sheetViews>
  <sheetFormatPr defaultRowHeight="15" x14ac:dyDescent="0.25"/>
  <cols>
    <col min="1" max="1" width="2.85546875" customWidth="1"/>
    <col min="2" max="2" width="4.85546875" style="1" customWidth="1"/>
    <col min="3" max="3" width="6.5703125" style="1" customWidth="1"/>
    <col min="4" max="4" width="4.5703125" style="3" customWidth="1"/>
    <col min="5" max="5" width="7.7109375" style="3" customWidth="1"/>
    <col min="6" max="6" width="22.7109375" style="3" customWidth="1"/>
    <col min="7" max="7" width="7.7109375" style="3" customWidth="1"/>
    <col min="8" max="9" width="22.7109375" style="5" customWidth="1"/>
    <col min="10" max="10" width="1.85546875" customWidth="1"/>
    <col min="11" max="11" width="4.85546875" customWidth="1"/>
    <col min="12" max="12" width="6.5703125" customWidth="1"/>
    <col min="13" max="13" width="4.5703125" style="1" customWidth="1"/>
    <col min="14" max="14" width="7.7109375" style="1" customWidth="1"/>
    <col min="15" max="15" width="22.7109375" style="1" customWidth="1"/>
    <col min="16" max="16" width="7.7109375" style="1" customWidth="1"/>
    <col min="17" max="18" width="22.7109375" style="5" customWidth="1"/>
  </cols>
  <sheetData>
    <row r="1" spans="2:21" x14ac:dyDescent="0.25">
      <c r="B1" s="35" t="s">
        <v>302</v>
      </c>
      <c r="C1" s="36"/>
      <c r="D1" s="37"/>
      <c r="E1" s="37"/>
      <c r="F1" s="37"/>
      <c r="G1" s="37"/>
      <c r="H1" s="37"/>
      <c r="I1" s="37"/>
      <c r="J1" s="37"/>
      <c r="K1" s="37"/>
      <c r="L1" s="37"/>
      <c r="M1" s="37"/>
      <c r="N1" s="37"/>
      <c r="O1" s="37"/>
      <c r="P1" s="37"/>
      <c r="Q1" s="37"/>
      <c r="R1" s="37"/>
    </row>
    <row r="2" spans="2:21" s="12" customFormat="1" ht="30" x14ac:dyDescent="0.25">
      <c r="B2" s="13" t="s">
        <v>0</v>
      </c>
      <c r="C2" s="13" t="s">
        <v>296</v>
      </c>
      <c r="D2" s="13" t="s">
        <v>5</v>
      </c>
      <c r="E2" s="13" t="s">
        <v>413</v>
      </c>
      <c r="F2" s="13" t="s">
        <v>317</v>
      </c>
      <c r="G2" s="13" t="s">
        <v>416</v>
      </c>
      <c r="H2" s="13" t="s">
        <v>274</v>
      </c>
      <c r="I2" s="21" t="s">
        <v>277</v>
      </c>
      <c r="K2" s="13" t="s">
        <v>0</v>
      </c>
      <c r="L2" s="13" t="s">
        <v>296</v>
      </c>
      <c r="M2" s="13" t="s">
        <v>5</v>
      </c>
      <c r="N2" s="13" t="s">
        <v>413</v>
      </c>
      <c r="O2" s="13" t="s">
        <v>317</v>
      </c>
      <c r="P2" s="13" t="s">
        <v>416</v>
      </c>
      <c r="Q2" s="13" t="s">
        <v>274</v>
      </c>
      <c r="R2" s="21" t="s">
        <v>277</v>
      </c>
    </row>
    <row r="3" spans="2:21" ht="6" customHeight="1" x14ac:dyDescent="0.25">
      <c r="K3" s="1"/>
      <c r="L3" s="1"/>
    </row>
    <row r="4" spans="2:21" ht="15" customHeight="1" x14ac:dyDescent="0.25">
      <c r="B4" s="9">
        <f t="shared" ref="B4:C17" si="0">B5+1</f>
        <v>15</v>
      </c>
      <c r="C4" s="9">
        <f t="shared" si="0"/>
        <v>431</v>
      </c>
      <c r="D4" s="9">
        <f t="shared" ref="D4:D17" si="1">D5</f>
        <v>128</v>
      </c>
      <c r="E4" s="9"/>
      <c r="F4" s="9"/>
      <c r="G4" s="9"/>
      <c r="H4" s="11"/>
      <c r="I4" s="11"/>
      <c r="J4" s="2"/>
      <c r="K4" s="6">
        <f t="shared" ref="K4:L17" si="2">K5+1</f>
        <v>31</v>
      </c>
      <c r="L4" s="6">
        <f t="shared" si="2"/>
        <v>447</v>
      </c>
      <c r="M4" s="6">
        <f t="shared" ref="M4:M17" si="3">M5</f>
        <v>128</v>
      </c>
      <c r="N4" s="7"/>
      <c r="O4" s="7"/>
      <c r="P4" s="7"/>
      <c r="Q4" s="8"/>
      <c r="R4" s="8"/>
    </row>
    <row r="5" spans="2:21" ht="15" customHeight="1" x14ac:dyDescent="0.25">
      <c r="B5" s="9">
        <f t="shared" si="0"/>
        <v>14</v>
      </c>
      <c r="C5" s="9">
        <f t="shared" si="0"/>
        <v>430</v>
      </c>
      <c r="D5" s="9">
        <f t="shared" si="1"/>
        <v>128</v>
      </c>
      <c r="E5" s="9"/>
      <c r="F5" s="9"/>
      <c r="G5" s="9"/>
      <c r="H5" s="11"/>
      <c r="I5" s="11"/>
      <c r="J5" s="2"/>
      <c r="K5" s="6">
        <f t="shared" si="2"/>
        <v>30</v>
      </c>
      <c r="L5" s="6">
        <f t="shared" si="2"/>
        <v>446</v>
      </c>
      <c r="M5" s="6">
        <f t="shared" si="3"/>
        <v>128</v>
      </c>
      <c r="N5" s="7"/>
      <c r="O5" s="7"/>
      <c r="P5" s="7"/>
      <c r="Q5" s="8"/>
      <c r="R5" s="8"/>
    </row>
    <row r="6" spans="2:21" ht="15" customHeight="1" x14ac:dyDescent="0.25">
      <c r="B6" s="9">
        <f t="shared" si="0"/>
        <v>13</v>
      </c>
      <c r="C6" s="9">
        <f t="shared" si="0"/>
        <v>429</v>
      </c>
      <c r="D6" s="9">
        <f t="shared" si="1"/>
        <v>128</v>
      </c>
      <c r="E6" s="9"/>
      <c r="F6" s="9"/>
      <c r="G6" s="9"/>
      <c r="H6" s="11"/>
      <c r="I6" s="11"/>
      <c r="J6" s="2"/>
      <c r="K6" s="6">
        <f t="shared" si="2"/>
        <v>29</v>
      </c>
      <c r="L6" s="6">
        <f t="shared" si="2"/>
        <v>445</v>
      </c>
      <c r="M6" s="6">
        <f t="shared" si="3"/>
        <v>128</v>
      </c>
      <c r="N6" s="7"/>
      <c r="O6" s="7"/>
      <c r="P6" s="7"/>
      <c r="Q6" s="8"/>
      <c r="R6" s="8"/>
    </row>
    <row r="7" spans="2:21" ht="15" customHeight="1" x14ac:dyDescent="0.25">
      <c r="B7" s="9">
        <f t="shared" si="0"/>
        <v>12</v>
      </c>
      <c r="C7" s="9">
        <f t="shared" si="0"/>
        <v>428</v>
      </c>
      <c r="D7" s="9">
        <f t="shared" si="1"/>
        <v>128</v>
      </c>
      <c r="E7" s="9"/>
      <c r="F7" s="9"/>
      <c r="G7" s="9"/>
      <c r="H7" s="11"/>
      <c r="I7" s="11"/>
      <c r="J7" s="2"/>
      <c r="K7" s="6">
        <f t="shared" si="2"/>
        <v>28</v>
      </c>
      <c r="L7" s="6">
        <f t="shared" si="2"/>
        <v>444</v>
      </c>
      <c r="M7" s="6">
        <f t="shared" si="3"/>
        <v>128</v>
      </c>
      <c r="N7" s="7"/>
      <c r="O7" s="7"/>
      <c r="P7" s="7"/>
      <c r="Q7" s="8"/>
      <c r="R7" s="8"/>
    </row>
    <row r="8" spans="2:21" ht="15" customHeight="1" x14ac:dyDescent="0.25">
      <c r="B8" s="9">
        <f t="shared" si="0"/>
        <v>11</v>
      </c>
      <c r="C8" s="9">
        <f t="shared" si="0"/>
        <v>427</v>
      </c>
      <c r="D8" s="9">
        <f t="shared" si="1"/>
        <v>128</v>
      </c>
      <c r="E8" s="9"/>
      <c r="F8" s="9"/>
      <c r="G8" s="9"/>
      <c r="H8" s="11"/>
      <c r="I8" s="11"/>
      <c r="J8" s="2"/>
      <c r="K8" s="6">
        <f t="shared" si="2"/>
        <v>27</v>
      </c>
      <c r="L8" s="6">
        <f t="shared" si="2"/>
        <v>443</v>
      </c>
      <c r="M8" s="6">
        <f t="shared" si="3"/>
        <v>128</v>
      </c>
      <c r="N8" s="7"/>
      <c r="O8" s="7"/>
      <c r="P8" s="7"/>
      <c r="Q8" s="8"/>
      <c r="R8" s="8"/>
      <c r="U8" s="2"/>
    </row>
    <row r="9" spans="2:21" ht="15" customHeight="1" x14ac:dyDescent="0.25">
      <c r="B9" s="9">
        <f t="shared" si="0"/>
        <v>10</v>
      </c>
      <c r="C9" s="9">
        <f t="shared" si="0"/>
        <v>426</v>
      </c>
      <c r="D9" s="9">
        <f t="shared" si="1"/>
        <v>128</v>
      </c>
      <c r="E9" s="9"/>
      <c r="F9" s="9"/>
      <c r="G9" s="9"/>
      <c r="H9" s="11"/>
      <c r="I9" s="11"/>
      <c r="J9" s="2"/>
      <c r="K9" s="6">
        <f t="shared" si="2"/>
        <v>26</v>
      </c>
      <c r="L9" s="6">
        <f t="shared" si="2"/>
        <v>442</v>
      </c>
      <c r="M9" s="6">
        <f t="shared" si="3"/>
        <v>128</v>
      </c>
      <c r="N9" s="7"/>
      <c r="O9" s="7"/>
      <c r="P9" s="7"/>
      <c r="Q9" s="8"/>
      <c r="R9" s="8"/>
    </row>
    <row r="10" spans="2:21" ht="15" customHeight="1" x14ac:dyDescent="0.25">
      <c r="B10" s="9">
        <f t="shared" si="0"/>
        <v>9</v>
      </c>
      <c r="C10" s="9">
        <f t="shared" si="0"/>
        <v>425</v>
      </c>
      <c r="D10" s="9">
        <f t="shared" si="1"/>
        <v>128</v>
      </c>
      <c r="E10" s="9"/>
      <c r="F10" s="9"/>
      <c r="G10" s="9"/>
      <c r="H10" s="11"/>
      <c r="I10" s="11"/>
      <c r="J10" s="2"/>
      <c r="K10" s="6">
        <f t="shared" si="2"/>
        <v>25</v>
      </c>
      <c r="L10" s="6">
        <f t="shared" si="2"/>
        <v>441</v>
      </c>
      <c r="M10" s="6">
        <f t="shared" si="3"/>
        <v>128</v>
      </c>
      <c r="N10" s="7"/>
      <c r="O10" s="7"/>
      <c r="P10" s="7"/>
      <c r="Q10" s="8"/>
      <c r="R10" s="8"/>
    </row>
    <row r="11" spans="2:21" ht="15" customHeight="1" x14ac:dyDescent="0.25">
      <c r="B11" s="9">
        <f>B12+1</f>
        <v>8</v>
      </c>
      <c r="C11" s="9">
        <f t="shared" si="0"/>
        <v>424</v>
      </c>
      <c r="D11" s="9">
        <f t="shared" si="1"/>
        <v>128</v>
      </c>
      <c r="E11" s="9"/>
      <c r="F11" s="9"/>
      <c r="G11" s="9"/>
      <c r="H11" s="11"/>
      <c r="I11" s="11"/>
      <c r="J11" s="2"/>
      <c r="K11" s="6">
        <f t="shared" si="2"/>
        <v>24</v>
      </c>
      <c r="L11" s="6">
        <f t="shared" si="2"/>
        <v>440</v>
      </c>
      <c r="M11" s="6">
        <f t="shared" si="3"/>
        <v>128</v>
      </c>
      <c r="N11" s="7"/>
      <c r="O11" s="7"/>
      <c r="P11" s="7"/>
      <c r="Q11" s="8"/>
      <c r="R11" s="8"/>
    </row>
    <row r="12" spans="2:21" ht="15" customHeight="1" x14ac:dyDescent="0.25">
      <c r="B12" s="9">
        <f t="shared" ref="B12:B17" si="4">B13+1</f>
        <v>7</v>
      </c>
      <c r="C12" s="9">
        <f t="shared" si="0"/>
        <v>423</v>
      </c>
      <c r="D12" s="10">
        <f t="shared" si="1"/>
        <v>128</v>
      </c>
      <c r="E12" s="9"/>
      <c r="F12" s="9"/>
      <c r="G12" s="9"/>
      <c r="H12" s="11"/>
      <c r="I12" s="11"/>
      <c r="J12" s="2"/>
      <c r="K12" s="6">
        <f t="shared" si="2"/>
        <v>23</v>
      </c>
      <c r="L12" s="6">
        <f t="shared" si="2"/>
        <v>439</v>
      </c>
      <c r="M12" s="6">
        <f t="shared" si="3"/>
        <v>128</v>
      </c>
      <c r="N12" s="7"/>
      <c r="O12" s="7"/>
      <c r="P12" s="7"/>
      <c r="Q12" s="8"/>
      <c r="R12" s="8"/>
    </row>
    <row r="13" spans="2:21" ht="15" customHeight="1" x14ac:dyDescent="0.25">
      <c r="B13" s="9">
        <f t="shared" si="4"/>
        <v>6</v>
      </c>
      <c r="C13" s="9">
        <f t="shared" si="0"/>
        <v>422</v>
      </c>
      <c r="D13" s="10">
        <f t="shared" si="1"/>
        <v>128</v>
      </c>
      <c r="E13" s="9"/>
      <c r="F13" s="9"/>
      <c r="G13" s="9"/>
      <c r="H13" s="11"/>
      <c r="I13" s="11"/>
      <c r="J13" s="2"/>
      <c r="K13" s="6">
        <f t="shared" si="2"/>
        <v>22</v>
      </c>
      <c r="L13" s="6">
        <f t="shared" si="2"/>
        <v>438</v>
      </c>
      <c r="M13" s="6">
        <f t="shared" si="3"/>
        <v>128</v>
      </c>
      <c r="N13" s="7"/>
      <c r="O13" s="7"/>
      <c r="P13" s="7"/>
      <c r="Q13" s="8"/>
      <c r="R13" s="8"/>
    </row>
    <row r="14" spans="2:21" ht="15" customHeight="1" x14ac:dyDescent="0.25">
      <c r="B14" s="9">
        <f t="shared" si="4"/>
        <v>5</v>
      </c>
      <c r="C14" s="9">
        <f t="shared" si="0"/>
        <v>421</v>
      </c>
      <c r="D14" s="10">
        <f t="shared" si="1"/>
        <v>128</v>
      </c>
      <c r="E14" s="9"/>
      <c r="F14" s="9"/>
      <c r="G14" s="9"/>
      <c r="H14" s="11"/>
      <c r="I14" s="11"/>
      <c r="J14" s="2"/>
      <c r="K14" s="6">
        <f t="shared" si="2"/>
        <v>21</v>
      </c>
      <c r="L14" s="6">
        <f t="shared" si="2"/>
        <v>437</v>
      </c>
      <c r="M14" s="6">
        <f t="shared" si="3"/>
        <v>128</v>
      </c>
      <c r="N14" s="7"/>
      <c r="O14" s="7"/>
      <c r="P14" s="7"/>
      <c r="Q14" s="8"/>
      <c r="R14" s="8"/>
    </row>
    <row r="15" spans="2:21" ht="15" customHeight="1" x14ac:dyDescent="0.25">
      <c r="B15" s="9">
        <f t="shared" si="4"/>
        <v>4</v>
      </c>
      <c r="C15" s="9">
        <f t="shared" si="0"/>
        <v>420</v>
      </c>
      <c r="D15" s="10">
        <f t="shared" si="1"/>
        <v>128</v>
      </c>
      <c r="E15" s="9"/>
      <c r="F15" s="9"/>
      <c r="G15" s="9"/>
      <c r="H15" s="11"/>
      <c r="I15" s="11"/>
      <c r="J15" s="2"/>
      <c r="K15" s="6">
        <f t="shared" si="2"/>
        <v>20</v>
      </c>
      <c r="L15" s="6">
        <f t="shared" si="2"/>
        <v>436</v>
      </c>
      <c r="M15" s="6">
        <f t="shared" si="3"/>
        <v>128</v>
      </c>
      <c r="N15" s="7"/>
      <c r="O15" s="7"/>
      <c r="P15" s="7"/>
      <c r="Q15" s="8"/>
      <c r="R15" s="8"/>
    </row>
    <row r="16" spans="2:21" ht="15" customHeight="1" x14ac:dyDescent="0.25">
      <c r="B16" s="9">
        <f t="shared" si="4"/>
        <v>3</v>
      </c>
      <c r="C16" s="9">
        <f t="shared" si="0"/>
        <v>419</v>
      </c>
      <c r="D16" s="10">
        <f t="shared" si="1"/>
        <v>128</v>
      </c>
      <c r="E16" s="9"/>
      <c r="F16" s="9"/>
      <c r="G16" s="9"/>
      <c r="H16" s="11"/>
      <c r="I16" s="11"/>
      <c r="J16" s="2"/>
      <c r="K16" s="6">
        <f t="shared" si="2"/>
        <v>19</v>
      </c>
      <c r="L16" s="6">
        <f t="shared" si="2"/>
        <v>435</v>
      </c>
      <c r="M16" s="6">
        <f t="shared" si="3"/>
        <v>128</v>
      </c>
      <c r="N16" s="7"/>
      <c r="O16" s="7"/>
      <c r="P16" s="7"/>
      <c r="Q16" s="8"/>
      <c r="R16" s="8"/>
    </row>
    <row r="17" spans="2:24" ht="15" customHeight="1" x14ac:dyDescent="0.25">
      <c r="B17" s="9">
        <f t="shared" si="4"/>
        <v>2</v>
      </c>
      <c r="C17" s="9">
        <f t="shared" si="0"/>
        <v>418</v>
      </c>
      <c r="D17" s="10">
        <f t="shared" si="1"/>
        <v>128</v>
      </c>
      <c r="E17" s="9"/>
      <c r="F17" s="9"/>
      <c r="G17" s="9"/>
      <c r="H17" s="11"/>
      <c r="I17" s="11"/>
      <c r="J17" s="2"/>
      <c r="K17" s="6">
        <f t="shared" si="2"/>
        <v>18</v>
      </c>
      <c r="L17" s="6">
        <f t="shared" si="2"/>
        <v>434</v>
      </c>
      <c r="M17" s="6">
        <f t="shared" si="3"/>
        <v>128</v>
      </c>
      <c r="N17" s="7"/>
      <c r="O17" s="7"/>
      <c r="P17" s="7"/>
      <c r="Q17" s="8"/>
      <c r="R17" s="8"/>
    </row>
    <row r="18" spans="2:24" ht="15" customHeight="1" x14ac:dyDescent="0.25">
      <c r="B18" s="9">
        <f>B19+1</f>
        <v>1</v>
      </c>
      <c r="C18" s="9">
        <f>C19+1</f>
        <v>417</v>
      </c>
      <c r="D18" s="10">
        <f>D19</f>
        <v>128</v>
      </c>
      <c r="E18" s="9"/>
      <c r="F18" s="9"/>
      <c r="G18" s="9"/>
      <c r="H18" s="11"/>
      <c r="I18" s="11"/>
      <c r="J18" s="2"/>
      <c r="K18" s="6">
        <f>K19+1</f>
        <v>17</v>
      </c>
      <c r="L18" s="6">
        <f>L19+1</f>
        <v>433</v>
      </c>
      <c r="M18" s="6">
        <f>M19</f>
        <v>128</v>
      </c>
      <c r="N18" s="7"/>
      <c r="O18" s="7"/>
      <c r="P18" s="7"/>
      <c r="Q18" s="8"/>
      <c r="R18" s="8"/>
    </row>
    <row r="19" spans="2:24" ht="15" customHeight="1" x14ac:dyDescent="0.25">
      <c r="B19" s="9">
        <v>0</v>
      </c>
      <c r="C19" s="9">
        <f>'Slot 5'!L4+1</f>
        <v>416</v>
      </c>
      <c r="D19" s="10">
        <f>'Slot 5'!M4</f>
        <v>128</v>
      </c>
      <c r="E19" s="9"/>
      <c r="F19" s="9"/>
      <c r="G19" s="9"/>
      <c r="H19" s="11"/>
      <c r="I19" s="11"/>
      <c r="J19" s="2"/>
      <c r="K19" s="6">
        <f>B4+1</f>
        <v>16</v>
      </c>
      <c r="L19" s="6">
        <f>C4+1</f>
        <v>432</v>
      </c>
      <c r="M19" s="6">
        <f>D4</f>
        <v>128</v>
      </c>
      <c r="N19" s="7"/>
      <c r="O19" s="7"/>
      <c r="P19" s="7"/>
      <c r="Q19" s="8"/>
      <c r="R19" s="8"/>
    </row>
    <row r="21" spans="2:24" ht="11.1" customHeight="1" x14ac:dyDescent="0.25">
      <c r="B21" s="9"/>
      <c r="C21" s="23"/>
      <c r="D21" s="22"/>
      <c r="E21" s="22"/>
      <c r="F21" s="22"/>
      <c r="G21" s="22"/>
      <c r="H21" s="38" t="s">
        <v>2</v>
      </c>
      <c r="I21" s="38"/>
      <c r="J21" s="34"/>
      <c r="K21" s="4"/>
      <c r="L21" s="4"/>
      <c r="M21" s="14"/>
      <c r="N21" s="14"/>
      <c r="O21" s="14"/>
      <c r="P21" s="14"/>
      <c r="Q21" s="4"/>
      <c r="R21" s="4"/>
      <c r="S21" s="4"/>
      <c r="T21" s="4"/>
      <c r="U21" s="4"/>
      <c r="V21" s="4"/>
      <c r="W21" s="4"/>
      <c r="X21" s="4"/>
    </row>
    <row r="22" spans="2:24" ht="11.1" customHeight="1" x14ac:dyDescent="0.25">
      <c r="D22" s="14"/>
      <c r="E22" s="14"/>
      <c r="F22" s="14"/>
      <c r="G22" s="14"/>
      <c r="H22" s="4"/>
      <c r="I22" s="4"/>
      <c r="K22" s="4"/>
      <c r="L22" s="4"/>
      <c r="M22" s="14"/>
      <c r="N22" s="14"/>
      <c r="O22" s="14"/>
      <c r="P22" s="14"/>
      <c r="Q22" s="4"/>
      <c r="R22" s="4"/>
      <c r="S22" s="4"/>
      <c r="T22" s="4"/>
      <c r="U22" s="4"/>
      <c r="V22" s="4"/>
      <c r="W22" s="4"/>
      <c r="X22" s="4"/>
    </row>
    <row r="23" spans="2:24" ht="11.1" customHeight="1" x14ac:dyDescent="0.25">
      <c r="B23" s="17"/>
      <c r="C23" s="24"/>
      <c r="D23" s="22"/>
      <c r="E23" s="22"/>
      <c r="F23" s="22"/>
      <c r="G23" s="22"/>
      <c r="H23" s="38" t="s">
        <v>3</v>
      </c>
      <c r="I23" s="38"/>
      <c r="J23" s="34"/>
      <c r="K23" s="4"/>
      <c r="L23" s="4"/>
      <c r="M23" s="14"/>
      <c r="N23" s="14"/>
      <c r="O23" s="14"/>
      <c r="P23" s="14"/>
      <c r="Q23" s="4"/>
      <c r="R23" s="4"/>
      <c r="S23" s="4"/>
      <c r="T23" s="4"/>
      <c r="U23" s="4"/>
      <c r="V23" s="4"/>
      <c r="W23" s="4"/>
      <c r="X23" s="4"/>
    </row>
    <row r="24" spans="2:24" ht="11.1" customHeight="1" x14ac:dyDescent="0.25">
      <c r="D24" s="14"/>
      <c r="E24" s="14"/>
      <c r="F24" s="14"/>
      <c r="G24" s="14"/>
      <c r="H24" s="4"/>
      <c r="I24" s="4"/>
      <c r="K24" s="4"/>
      <c r="L24" s="4"/>
      <c r="M24" s="14"/>
      <c r="N24" s="14"/>
      <c r="O24" s="14"/>
      <c r="P24" s="14"/>
      <c r="Q24" s="4"/>
      <c r="R24" s="4"/>
      <c r="S24" s="4"/>
      <c r="T24" s="4"/>
      <c r="U24" s="4"/>
      <c r="V24" s="4"/>
      <c r="W24" s="4"/>
      <c r="X24" s="4"/>
    </row>
    <row r="25" spans="2:24" x14ac:dyDescent="0.25">
      <c r="K25" s="4"/>
      <c r="L25" s="4"/>
      <c r="M25" s="14"/>
      <c r="N25" s="14"/>
      <c r="O25" s="14"/>
      <c r="P25" s="14"/>
      <c r="Q25" s="4"/>
      <c r="S25" s="4"/>
      <c r="T25" s="4"/>
      <c r="U25" s="4"/>
      <c r="V25" s="4"/>
      <c r="W25" s="4"/>
      <c r="X25" s="4"/>
    </row>
  </sheetData>
  <mergeCells count="3">
    <mergeCell ref="B1:R1"/>
    <mergeCell ref="H21:J21"/>
    <mergeCell ref="H23:J23"/>
  </mergeCells>
  <dataValidations count="1">
    <dataValidation type="list" allowBlank="1" showInputMessage="1" showErrorMessage="1" error="Valid options are: Clear (empty cell), &quot;Enable&quot;, &quot;Disable&quot;, or Persistent Disable." sqref="E4:E19 G4:G19 N4:N19 P4:P19" xr:uid="{969AD7F3-CC82-4747-8EED-2D318B6A16D3}">
      <formula1>"Enable,Disable,Persistent Disable"</formula1>
    </dataValidation>
  </dataValidations>
  <pageMargins left="0.7" right="0.7" top="0.75" bottom="0.75" header="0.3" footer="0.3"/>
  <pageSetup orientation="landscape" horizontalDpi="4294967294"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249977111117893"/>
  </sheetPr>
  <dimension ref="B1:AJ33"/>
  <sheetViews>
    <sheetView topLeftCell="L1" workbookViewId="0">
      <selection activeCell="Y8" sqref="Y8"/>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5" t="s">
        <v>275</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3" s="12" customFormat="1" ht="60" x14ac:dyDescent="0.25">
      <c r="B2" s="13" t="s">
        <v>0</v>
      </c>
      <c r="C2" s="13" t="s">
        <v>7</v>
      </c>
      <c r="D2" s="13" t="s">
        <v>8</v>
      </c>
      <c r="E2" s="13" t="s">
        <v>296</v>
      </c>
      <c r="F2" s="13" t="s">
        <v>6</v>
      </c>
      <c r="G2" s="13" t="s">
        <v>5</v>
      </c>
      <c r="H2" s="13" t="s">
        <v>413</v>
      </c>
      <c r="I2" s="13" t="s">
        <v>317</v>
      </c>
      <c r="J2" s="13" t="s">
        <v>416</v>
      </c>
      <c r="K2" s="13" t="s">
        <v>4</v>
      </c>
      <c r="L2" s="13" t="s">
        <v>277</v>
      </c>
      <c r="M2" s="13" t="s">
        <v>9</v>
      </c>
      <c r="N2" s="13" t="s">
        <v>10</v>
      </c>
      <c r="O2" s="13" t="s">
        <v>11</v>
      </c>
      <c r="Q2" s="13" t="s">
        <v>0</v>
      </c>
      <c r="R2" s="13" t="s">
        <v>7</v>
      </c>
      <c r="S2" s="13" t="s">
        <v>8</v>
      </c>
      <c r="T2" s="13" t="s">
        <v>296</v>
      </c>
      <c r="U2" s="13" t="s">
        <v>6</v>
      </c>
      <c r="V2" s="13" t="s">
        <v>5</v>
      </c>
      <c r="W2" s="13" t="s">
        <v>413</v>
      </c>
      <c r="X2" s="13" t="s">
        <v>317</v>
      </c>
      <c r="Y2" s="13" t="s">
        <v>416</v>
      </c>
      <c r="Z2" s="13" t="s">
        <v>4</v>
      </c>
      <c r="AA2" s="13" t="s">
        <v>277</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17</v>
      </c>
      <c r="E4" s="6">
        <f t="shared" ref="E4:E18" si="3">E5+1</f>
        <v>215</v>
      </c>
      <c r="F4" s="7" t="str">
        <f t="shared" ref="F4:F26" si="4">IF(HEX2DEC(D4)&gt;15,IF(HEX2DEC(C4) &gt; 15,CONCATENATE(C4,D4),CONCATENATE("0",C4,D4)),IF(HEX2DEC(C4) &gt; 15,CONCATENATE(C4,"0",D4),CONCATENATE("0",C4,"0",D4)))</f>
        <v>0117</v>
      </c>
      <c r="G4" s="7">
        <f t="shared" ref="G4:G25" si="5">G5</f>
        <v>0</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2F</v>
      </c>
      <c r="T4" s="6">
        <f t="shared" ref="T4:T10" si="9">T5+1</f>
        <v>239</v>
      </c>
      <c r="U4" s="7" t="str">
        <f t="shared" ref="U4:U26" si="10">IF(HEX2DEC(S4)&gt;15,IF(HEX2DEC(R4) &gt; 15,CONCATENATE(R4,S4),CONCATENATE("0",R4,S4)),IF(HEX2DEC(R4) &gt; 15,CONCATENATE(R4,"0",S4),CONCATENATE("0",R4,"0",S4)))</f>
        <v>012F</v>
      </c>
      <c r="V4" s="7">
        <f t="shared" ref="V4:V25" si="11">V5</f>
        <v>0</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16</v>
      </c>
      <c r="E5" s="6">
        <f t="shared" si="3"/>
        <v>214</v>
      </c>
      <c r="F5" s="7" t="str">
        <f t="shared" si="4"/>
        <v>0116</v>
      </c>
      <c r="G5" s="7">
        <f t="shared" si="5"/>
        <v>0</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2E</v>
      </c>
      <c r="T5" s="6">
        <f t="shared" si="9"/>
        <v>238</v>
      </c>
      <c r="U5" s="7" t="str">
        <f t="shared" si="10"/>
        <v>012E</v>
      </c>
      <c r="V5" s="7">
        <f t="shared" si="11"/>
        <v>0</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15</v>
      </c>
      <c r="E6" s="6">
        <f t="shared" si="3"/>
        <v>213</v>
      </c>
      <c r="F6" s="7" t="str">
        <f t="shared" si="4"/>
        <v>0115</v>
      </c>
      <c r="G6" s="7">
        <f t="shared" si="5"/>
        <v>0</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2D</v>
      </c>
      <c r="T6" s="6">
        <f t="shared" si="9"/>
        <v>237</v>
      </c>
      <c r="U6" s="7" t="str">
        <f t="shared" si="10"/>
        <v>012D</v>
      </c>
      <c r="V6" s="7">
        <f t="shared" si="11"/>
        <v>0</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14</v>
      </c>
      <c r="E7" s="6">
        <f t="shared" si="3"/>
        <v>212</v>
      </c>
      <c r="F7" s="7" t="str">
        <f t="shared" si="4"/>
        <v>0114</v>
      </c>
      <c r="G7" s="7">
        <f t="shared" si="5"/>
        <v>0</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2C</v>
      </c>
      <c r="T7" s="6">
        <f t="shared" si="9"/>
        <v>236</v>
      </c>
      <c r="U7" s="7" t="str">
        <f t="shared" si="10"/>
        <v>012C</v>
      </c>
      <c r="V7" s="7">
        <f t="shared" si="11"/>
        <v>0</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13</v>
      </c>
      <c r="E8" s="6">
        <f t="shared" si="3"/>
        <v>211</v>
      </c>
      <c r="F8" s="7" t="str">
        <f t="shared" si="4"/>
        <v>0113</v>
      </c>
      <c r="G8" s="7">
        <f t="shared" si="5"/>
        <v>0</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2B</v>
      </c>
      <c r="T8" s="6">
        <f t="shared" si="9"/>
        <v>235</v>
      </c>
      <c r="U8" s="7" t="str">
        <f t="shared" si="10"/>
        <v>012B</v>
      </c>
      <c r="V8" s="7">
        <f t="shared" si="11"/>
        <v>0</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12</v>
      </c>
      <c r="E9" s="6">
        <f t="shared" si="3"/>
        <v>210</v>
      </c>
      <c r="F9" s="7" t="str">
        <f t="shared" si="4"/>
        <v>0112</v>
      </c>
      <c r="G9" s="7">
        <f t="shared" si="5"/>
        <v>0</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2A</v>
      </c>
      <c r="T9" s="6">
        <f t="shared" si="9"/>
        <v>234</v>
      </c>
      <c r="U9" s="7" t="str">
        <f t="shared" si="10"/>
        <v>012A</v>
      </c>
      <c r="V9" s="7">
        <f t="shared" si="11"/>
        <v>0</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11</v>
      </c>
      <c r="E10" s="6">
        <f t="shared" si="3"/>
        <v>209</v>
      </c>
      <c r="F10" s="7" t="str">
        <f t="shared" si="4"/>
        <v>0111</v>
      </c>
      <c r="G10" s="7">
        <f t="shared" si="5"/>
        <v>0</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29</v>
      </c>
      <c r="T10" s="6">
        <f t="shared" si="9"/>
        <v>233</v>
      </c>
      <c r="U10" s="7" t="str">
        <f t="shared" si="10"/>
        <v>0129</v>
      </c>
      <c r="V10" s="7">
        <f t="shared" si="11"/>
        <v>0</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10</v>
      </c>
      <c r="E11" s="6">
        <f t="shared" si="3"/>
        <v>208</v>
      </c>
      <c r="F11" s="7" t="str">
        <f t="shared" si="4"/>
        <v>0110</v>
      </c>
      <c r="G11" s="7">
        <f t="shared" si="5"/>
        <v>0</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28</v>
      </c>
      <c r="T11" s="6">
        <f>T12+1</f>
        <v>232</v>
      </c>
      <c r="U11" s="7" t="str">
        <f t="shared" si="10"/>
        <v>0128</v>
      </c>
      <c r="V11" s="7">
        <f t="shared" si="11"/>
        <v>0</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F</v>
      </c>
      <c r="E12" s="6">
        <f t="shared" si="3"/>
        <v>207</v>
      </c>
      <c r="F12" s="7" t="str">
        <f t="shared" si="4"/>
        <v>010F</v>
      </c>
      <c r="G12" s="7">
        <f t="shared" si="5"/>
        <v>0</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27</v>
      </c>
      <c r="T12" s="9">
        <f t="shared" ref="T12:T25" si="12">T13+1</f>
        <v>231</v>
      </c>
      <c r="U12" s="9" t="str">
        <f t="shared" si="10"/>
        <v>0127</v>
      </c>
      <c r="V12" s="9">
        <f t="shared" si="11"/>
        <v>0</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E</v>
      </c>
      <c r="E13" s="6">
        <f t="shared" si="3"/>
        <v>206</v>
      </c>
      <c r="F13" s="7" t="str">
        <f t="shared" si="4"/>
        <v>010E</v>
      </c>
      <c r="G13" s="7">
        <f t="shared" si="5"/>
        <v>0</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26</v>
      </c>
      <c r="T13" s="9">
        <f t="shared" si="12"/>
        <v>230</v>
      </c>
      <c r="U13" s="9" t="str">
        <f t="shared" si="10"/>
        <v>0126</v>
      </c>
      <c r="V13" s="9">
        <f t="shared" si="11"/>
        <v>0</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D</v>
      </c>
      <c r="E14" s="6">
        <f t="shared" si="3"/>
        <v>205</v>
      </c>
      <c r="F14" s="7" t="str">
        <f t="shared" si="4"/>
        <v>010D</v>
      </c>
      <c r="G14" s="7">
        <f t="shared" si="5"/>
        <v>0</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25</v>
      </c>
      <c r="T14" s="9">
        <f t="shared" si="12"/>
        <v>229</v>
      </c>
      <c r="U14" s="9" t="str">
        <f t="shared" si="10"/>
        <v>0125</v>
      </c>
      <c r="V14" s="9">
        <f t="shared" si="11"/>
        <v>0</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C</v>
      </c>
      <c r="E15" s="6">
        <f t="shared" si="3"/>
        <v>204</v>
      </c>
      <c r="F15" s="7" t="str">
        <f t="shared" si="4"/>
        <v>010C</v>
      </c>
      <c r="G15" s="7">
        <f t="shared" si="5"/>
        <v>0</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24</v>
      </c>
      <c r="T15" s="9">
        <f t="shared" si="12"/>
        <v>228</v>
      </c>
      <c r="U15" s="9" t="str">
        <f t="shared" si="10"/>
        <v>0124</v>
      </c>
      <c r="V15" s="9">
        <f t="shared" si="11"/>
        <v>0</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B</v>
      </c>
      <c r="E16" s="6">
        <f t="shared" si="3"/>
        <v>203</v>
      </c>
      <c r="F16" s="7" t="str">
        <f t="shared" si="4"/>
        <v>010B</v>
      </c>
      <c r="G16" s="7">
        <f t="shared" si="5"/>
        <v>0</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23</v>
      </c>
      <c r="T16" s="9">
        <f t="shared" si="12"/>
        <v>227</v>
      </c>
      <c r="U16" s="9" t="str">
        <f t="shared" si="10"/>
        <v>0123</v>
      </c>
      <c r="V16" s="9">
        <f t="shared" si="11"/>
        <v>0</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A</v>
      </c>
      <c r="E17" s="6">
        <f t="shared" si="3"/>
        <v>202</v>
      </c>
      <c r="F17" s="7" t="str">
        <f t="shared" si="4"/>
        <v>010A</v>
      </c>
      <c r="G17" s="7">
        <f t="shared" si="5"/>
        <v>0</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22</v>
      </c>
      <c r="T17" s="9">
        <f t="shared" si="12"/>
        <v>226</v>
      </c>
      <c r="U17" s="9" t="str">
        <f t="shared" si="10"/>
        <v>0122</v>
      </c>
      <c r="V17" s="9">
        <f t="shared" si="11"/>
        <v>0</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9</v>
      </c>
      <c r="E18" s="6">
        <f t="shared" si="3"/>
        <v>201</v>
      </c>
      <c r="F18" s="7" t="str">
        <f t="shared" si="4"/>
        <v>0109</v>
      </c>
      <c r="G18" s="7">
        <f t="shared" si="5"/>
        <v>0</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21</v>
      </c>
      <c r="T18" s="9">
        <f t="shared" si="12"/>
        <v>225</v>
      </c>
      <c r="U18" s="9" t="str">
        <f t="shared" si="10"/>
        <v>0121</v>
      </c>
      <c r="V18" s="9">
        <f t="shared" si="11"/>
        <v>0</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8</v>
      </c>
      <c r="E19" s="6">
        <f>E20+1</f>
        <v>200</v>
      </c>
      <c r="F19" s="7" t="str">
        <f t="shared" si="4"/>
        <v>0108</v>
      </c>
      <c r="G19" s="7">
        <f t="shared" si="5"/>
        <v>0</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20</v>
      </c>
      <c r="T19" s="9">
        <f t="shared" si="12"/>
        <v>224</v>
      </c>
      <c r="U19" s="9" t="str">
        <f t="shared" si="10"/>
        <v>0120</v>
      </c>
      <c r="V19" s="9">
        <f t="shared" si="11"/>
        <v>0</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3">B21+1</f>
        <v>7</v>
      </c>
      <c r="C20" s="9" t="str">
        <f t="shared" si="1"/>
        <v>1</v>
      </c>
      <c r="D20" s="9" t="str">
        <f t="shared" si="2"/>
        <v>7</v>
      </c>
      <c r="E20" s="9">
        <f t="shared" ref="E20:E25" si="14">E21+1</f>
        <v>199</v>
      </c>
      <c r="F20" s="9" t="str">
        <f t="shared" si="4"/>
        <v>0107</v>
      </c>
      <c r="G20" s="10">
        <f t="shared" si="5"/>
        <v>0</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1F</v>
      </c>
      <c r="T20" s="9">
        <f t="shared" si="12"/>
        <v>223</v>
      </c>
      <c r="U20" s="9" t="str">
        <f t="shared" si="10"/>
        <v>011F</v>
      </c>
      <c r="V20" s="9">
        <f t="shared" si="11"/>
        <v>0</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3"/>
        <v>6</v>
      </c>
      <c r="C21" s="9" t="str">
        <f t="shared" si="1"/>
        <v>1</v>
      </c>
      <c r="D21" s="9" t="str">
        <f t="shared" si="2"/>
        <v>6</v>
      </c>
      <c r="E21" s="9">
        <f t="shared" si="14"/>
        <v>198</v>
      </c>
      <c r="F21" s="9" t="str">
        <f t="shared" si="4"/>
        <v>0106</v>
      </c>
      <c r="G21" s="10">
        <f t="shared" si="5"/>
        <v>0</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1E</v>
      </c>
      <c r="T21" s="9">
        <f t="shared" si="12"/>
        <v>222</v>
      </c>
      <c r="U21" s="9" t="str">
        <f t="shared" si="10"/>
        <v>011E</v>
      </c>
      <c r="V21" s="9">
        <f t="shared" si="11"/>
        <v>0</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3"/>
        <v>5</v>
      </c>
      <c r="C22" s="9" t="str">
        <f t="shared" si="1"/>
        <v>1</v>
      </c>
      <c r="D22" s="9" t="str">
        <f t="shared" si="2"/>
        <v>5</v>
      </c>
      <c r="E22" s="9">
        <f t="shared" si="14"/>
        <v>197</v>
      </c>
      <c r="F22" s="9" t="str">
        <f t="shared" si="4"/>
        <v>0105</v>
      </c>
      <c r="G22" s="10">
        <f t="shared" si="5"/>
        <v>0</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1D</v>
      </c>
      <c r="T22" s="9">
        <f t="shared" si="12"/>
        <v>221</v>
      </c>
      <c r="U22" s="9" t="str">
        <f t="shared" si="10"/>
        <v>011D</v>
      </c>
      <c r="V22" s="9">
        <f t="shared" si="11"/>
        <v>0</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3"/>
        <v>4</v>
      </c>
      <c r="C23" s="9" t="str">
        <f t="shared" si="1"/>
        <v>1</v>
      </c>
      <c r="D23" s="9" t="str">
        <f t="shared" si="2"/>
        <v>4</v>
      </c>
      <c r="E23" s="9">
        <f t="shared" si="14"/>
        <v>196</v>
      </c>
      <c r="F23" s="9" t="str">
        <f t="shared" si="4"/>
        <v>0104</v>
      </c>
      <c r="G23" s="10">
        <f t="shared" si="5"/>
        <v>0</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1C</v>
      </c>
      <c r="T23" s="9">
        <f t="shared" si="12"/>
        <v>220</v>
      </c>
      <c r="U23" s="9" t="str">
        <f t="shared" si="10"/>
        <v>011C</v>
      </c>
      <c r="V23" s="9">
        <f t="shared" si="11"/>
        <v>0</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3"/>
        <v>3</v>
      </c>
      <c r="C24" s="9" t="str">
        <f t="shared" si="1"/>
        <v>1</v>
      </c>
      <c r="D24" s="9" t="str">
        <f t="shared" si="2"/>
        <v>3</v>
      </c>
      <c r="E24" s="9">
        <f t="shared" si="14"/>
        <v>195</v>
      </c>
      <c r="F24" s="9" t="str">
        <f t="shared" si="4"/>
        <v>0103</v>
      </c>
      <c r="G24" s="10">
        <f t="shared" si="5"/>
        <v>0</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1B</v>
      </c>
      <c r="T24" s="9">
        <f t="shared" si="12"/>
        <v>219</v>
      </c>
      <c r="U24" s="9" t="str">
        <f t="shared" si="10"/>
        <v>011B</v>
      </c>
      <c r="V24" s="9">
        <f t="shared" si="11"/>
        <v>0</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3"/>
        <v>2</v>
      </c>
      <c r="C25" s="9" t="str">
        <f t="shared" si="1"/>
        <v>1</v>
      </c>
      <c r="D25" s="9" t="str">
        <f t="shared" si="2"/>
        <v>2</v>
      </c>
      <c r="E25" s="9">
        <f t="shared" si="14"/>
        <v>194</v>
      </c>
      <c r="F25" s="9" t="str">
        <f t="shared" si="4"/>
        <v>0102</v>
      </c>
      <c r="G25" s="10">
        <f t="shared" si="5"/>
        <v>0</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1A</v>
      </c>
      <c r="T25" s="9">
        <f t="shared" si="12"/>
        <v>218</v>
      </c>
      <c r="U25" s="9" t="str">
        <f t="shared" si="10"/>
        <v>011A</v>
      </c>
      <c r="V25" s="9">
        <f t="shared" si="11"/>
        <v>0</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1</v>
      </c>
      <c r="E26" s="9">
        <f>E27+1</f>
        <v>193</v>
      </c>
      <c r="F26" s="9" t="str">
        <f t="shared" si="4"/>
        <v>0101</v>
      </c>
      <c r="G26" s="10">
        <f>G27</f>
        <v>0</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19</v>
      </c>
      <c r="T26" s="9">
        <f>T27+1</f>
        <v>217</v>
      </c>
      <c r="U26" s="9" t="str">
        <f t="shared" si="10"/>
        <v>0119</v>
      </c>
      <c r="V26" s="9">
        <f>V27</f>
        <v>0</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4'!R4</f>
        <v>1</v>
      </c>
      <c r="D27" s="9">
        <v>0</v>
      </c>
      <c r="E27" s="9">
        <v>192</v>
      </c>
      <c r="F27" s="9" t="str">
        <f>IF(HEX2DEC(D27)&gt;15,IF(HEX2DEC(C27) &gt; 15,CONCATENATE(C27,D27),CONCATENATE("0",C27,D27)),IF(HEX2DEC(C27) &gt; 15,CONCATENATE(C27,"0",D27),CONCATENATE("0",C27,"0",D27)))</f>
        <v>0100</v>
      </c>
      <c r="G27" s="10">
        <f>'Slot 4'!V4</f>
        <v>0</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18</v>
      </c>
      <c r="T27" s="9">
        <f>E4+1</f>
        <v>216</v>
      </c>
      <c r="U27" s="9" t="str">
        <f>IF(HEX2DEC(S27)&gt;15,IF(HEX2DEC(R27) &gt; 15,CONCATENATE(R27,S27),CONCATENATE("0",R27,S27)),IF(HEX2DEC(R27) &gt; 15,CONCATENATE(R27,"0",S27),CONCATENATE("0",R27,"0",S27)))</f>
        <v>0118</v>
      </c>
      <c r="V27" s="9">
        <f>G4</f>
        <v>0</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3" t="s">
        <v>2</v>
      </c>
      <c r="G29" s="34"/>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3" t="s">
        <v>3</v>
      </c>
      <c r="G31" s="34"/>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66DD5019-2408-44BF-A62E-05F587F48DC6}">
      <formula1>"Enable,Disable,Persistent Disable"</formula1>
    </dataValidation>
  </dataValidations>
  <pageMargins left="0.7" right="0.7" top="0.75" bottom="0.75" header="0.3" footer="0.3"/>
  <pageSetup orientation="landscape"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249977111117893"/>
  </sheetPr>
  <dimension ref="B1:AJ33"/>
  <sheetViews>
    <sheetView topLeftCell="K1" workbookViewId="0">
      <selection activeCell="W12" sqref="W1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5" t="s">
        <v>276</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3" s="12" customFormat="1" ht="60" x14ac:dyDescent="0.25">
      <c r="B2" s="13" t="s">
        <v>0</v>
      </c>
      <c r="C2" s="13" t="s">
        <v>7</v>
      </c>
      <c r="D2" s="13" t="s">
        <v>8</v>
      </c>
      <c r="E2" s="13" t="s">
        <v>296</v>
      </c>
      <c r="F2" s="13" t="s">
        <v>6</v>
      </c>
      <c r="G2" s="13" t="s">
        <v>5</v>
      </c>
      <c r="H2" s="13" t="s">
        <v>413</v>
      </c>
      <c r="I2" s="13" t="s">
        <v>317</v>
      </c>
      <c r="J2" s="13" t="s">
        <v>416</v>
      </c>
      <c r="K2" s="13" t="s">
        <v>4</v>
      </c>
      <c r="L2" s="13" t="s">
        <v>277</v>
      </c>
      <c r="M2" s="13" t="s">
        <v>9</v>
      </c>
      <c r="N2" s="13" t="s">
        <v>10</v>
      </c>
      <c r="O2" s="13" t="s">
        <v>11</v>
      </c>
      <c r="Q2" s="13" t="s">
        <v>0</v>
      </c>
      <c r="R2" s="13" t="s">
        <v>7</v>
      </c>
      <c r="S2" s="13" t="s">
        <v>8</v>
      </c>
      <c r="T2" s="13" t="s">
        <v>296</v>
      </c>
      <c r="U2" s="13" t="s">
        <v>6</v>
      </c>
      <c r="V2" s="13" t="s">
        <v>5</v>
      </c>
      <c r="W2" s="13" t="s">
        <v>413</v>
      </c>
      <c r="X2" s="13" t="s">
        <v>317</v>
      </c>
      <c r="Y2" s="13" t="s">
        <v>416</v>
      </c>
      <c r="Z2" s="13" t="s">
        <v>4</v>
      </c>
      <c r="AA2" s="13" t="s">
        <v>277</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47</v>
      </c>
      <c r="E4" s="6">
        <f t="shared" ref="E4:E18" si="3">E5+1</f>
        <v>311</v>
      </c>
      <c r="F4" s="7" t="str">
        <f t="shared" ref="F4:F11" si="4">IF(HEX2DEC(D4)&gt;15,IF(HEX2DEC(C4) &gt; 15,CONCATENATE(C4,D4),CONCATENATE("0",C4,D4)),IF(HEX2DEC(C4) &gt; 15,CONCATENATE(C4,"0",D4),CONCATENATE("0",C4,"0",D4)))</f>
        <v>0147</v>
      </c>
      <c r="G4" s="7">
        <f t="shared" ref="G4:G25" si="5">G5</f>
        <v>0</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5F</v>
      </c>
      <c r="T4" s="6">
        <f t="shared" ref="T4:T10" si="9">T5+1</f>
        <v>335</v>
      </c>
      <c r="U4" s="7" t="str">
        <f t="shared" ref="U4:U26" si="10">IF(HEX2DEC(S4)&gt;15,IF(HEX2DEC(R4) &gt; 15,CONCATENATE(R4,S4),CONCATENATE("0",R4,S4)),IF(HEX2DEC(R4) &gt; 15,CONCATENATE(R4,"0",S4),CONCATENATE("0",R4,"0",S4)))</f>
        <v>015F</v>
      </c>
      <c r="V4" s="7">
        <f t="shared" ref="V4:V25" si="11">V5</f>
        <v>0</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46</v>
      </c>
      <c r="E5" s="6">
        <f t="shared" si="3"/>
        <v>310</v>
      </c>
      <c r="F5" s="7" t="str">
        <f t="shared" si="4"/>
        <v>0146</v>
      </c>
      <c r="G5" s="7">
        <f t="shared" si="5"/>
        <v>0</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5E</v>
      </c>
      <c r="T5" s="6">
        <f t="shared" si="9"/>
        <v>334</v>
      </c>
      <c r="U5" s="7" t="str">
        <f t="shared" si="10"/>
        <v>015E</v>
      </c>
      <c r="V5" s="7">
        <f t="shared" si="11"/>
        <v>0</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45</v>
      </c>
      <c r="E6" s="6">
        <f t="shared" si="3"/>
        <v>309</v>
      </c>
      <c r="F6" s="7" t="str">
        <f t="shared" si="4"/>
        <v>0145</v>
      </c>
      <c r="G6" s="7">
        <f t="shared" si="5"/>
        <v>0</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5D</v>
      </c>
      <c r="T6" s="6">
        <f t="shared" si="9"/>
        <v>333</v>
      </c>
      <c r="U6" s="7" t="str">
        <f t="shared" si="10"/>
        <v>015D</v>
      </c>
      <c r="V6" s="7">
        <f t="shared" si="11"/>
        <v>0</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44</v>
      </c>
      <c r="E7" s="6">
        <f t="shared" si="3"/>
        <v>308</v>
      </c>
      <c r="F7" s="7" t="str">
        <f t="shared" si="4"/>
        <v>0144</v>
      </c>
      <c r="G7" s="7">
        <f t="shared" si="5"/>
        <v>0</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5C</v>
      </c>
      <c r="T7" s="6">
        <f t="shared" si="9"/>
        <v>332</v>
      </c>
      <c r="U7" s="7" t="str">
        <f t="shared" si="10"/>
        <v>015C</v>
      </c>
      <c r="V7" s="7">
        <f t="shared" si="11"/>
        <v>0</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43</v>
      </c>
      <c r="E8" s="6">
        <f t="shared" si="3"/>
        <v>307</v>
      </c>
      <c r="F8" s="7" t="str">
        <f t="shared" si="4"/>
        <v>0143</v>
      </c>
      <c r="G8" s="7">
        <f t="shared" si="5"/>
        <v>0</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5B</v>
      </c>
      <c r="T8" s="6">
        <f t="shared" si="9"/>
        <v>331</v>
      </c>
      <c r="U8" s="7" t="str">
        <f t="shared" si="10"/>
        <v>015B</v>
      </c>
      <c r="V8" s="7">
        <f t="shared" si="11"/>
        <v>0</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42</v>
      </c>
      <c r="E9" s="6">
        <f t="shared" si="3"/>
        <v>306</v>
      </c>
      <c r="F9" s="7" t="str">
        <f t="shared" si="4"/>
        <v>0142</v>
      </c>
      <c r="G9" s="7">
        <f t="shared" si="5"/>
        <v>0</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5A</v>
      </c>
      <c r="T9" s="6">
        <f t="shared" si="9"/>
        <v>330</v>
      </c>
      <c r="U9" s="7" t="str">
        <f t="shared" si="10"/>
        <v>015A</v>
      </c>
      <c r="V9" s="7">
        <f t="shared" si="11"/>
        <v>0</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41</v>
      </c>
      <c r="E10" s="6">
        <f t="shared" si="3"/>
        <v>305</v>
      </c>
      <c r="F10" s="7" t="str">
        <f t="shared" si="4"/>
        <v>0141</v>
      </c>
      <c r="G10" s="7">
        <f t="shared" si="5"/>
        <v>0</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59</v>
      </c>
      <c r="T10" s="6">
        <f t="shared" si="9"/>
        <v>329</v>
      </c>
      <c r="U10" s="7" t="str">
        <f t="shared" si="10"/>
        <v>0159</v>
      </c>
      <c r="V10" s="7">
        <f t="shared" si="11"/>
        <v>0</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40</v>
      </c>
      <c r="E11" s="6">
        <f t="shared" si="3"/>
        <v>304</v>
      </c>
      <c r="F11" s="7" t="str">
        <f t="shared" si="4"/>
        <v>0140</v>
      </c>
      <c r="G11" s="7">
        <f t="shared" si="5"/>
        <v>0</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58</v>
      </c>
      <c r="T11" s="6">
        <f>T12+1</f>
        <v>328</v>
      </c>
      <c r="U11" s="7" t="str">
        <f t="shared" si="10"/>
        <v>0158</v>
      </c>
      <c r="V11" s="7">
        <f t="shared" si="11"/>
        <v>0</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3F</v>
      </c>
      <c r="E12" s="6">
        <f t="shared" si="3"/>
        <v>303</v>
      </c>
      <c r="F12" s="7" t="str">
        <f t="shared" ref="F12:F26" si="12">IF(HEX2DEC(D12)&gt;15,IF(HEX2DEC(C12) &gt; 15,CONCATENATE(C12,D12),CONCATENATE("0",C12,D12)),IF(HEX2DEC(C12) &gt; 15,CONCATENATE(C12,"0",D12),CONCATENATE("0",C12,"0",D12)))</f>
        <v>013F</v>
      </c>
      <c r="G12" s="7">
        <f t="shared" si="5"/>
        <v>0</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57</v>
      </c>
      <c r="T12" s="9">
        <f t="shared" ref="T12:T25" si="13">T13+1</f>
        <v>327</v>
      </c>
      <c r="U12" s="9" t="str">
        <f t="shared" si="10"/>
        <v>0157</v>
      </c>
      <c r="V12" s="9">
        <f t="shared" si="11"/>
        <v>0</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3E</v>
      </c>
      <c r="E13" s="6">
        <f t="shared" si="3"/>
        <v>302</v>
      </c>
      <c r="F13" s="7" t="str">
        <f t="shared" si="12"/>
        <v>013E</v>
      </c>
      <c r="G13" s="7">
        <f t="shared" si="5"/>
        <v>0</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56</v>
      </c>
      <c r="T13" s="9">
        <f t="shared" si="13"/>
        <v>326</v>
      </c>
      <c r="U13" s="9" t="str">
        <f t="shared" si="10"/>
        <v>0156</v>
      </c>
      <c r="V13" s="9">
        <f t="shared" si="11"/>
        <v>0</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3D</v>
      </c>
      <c r="E14" s="6">
        <f t="shared" si="3"/>
        <v>301</v>
      </c>
      <c r="F14" s="7" t="str">
        <f t="shared" si="12"/>
        <v>013D</v>
      </c>
      <c r="G14" s="7">
        <f t="shared" si="5"/>
        <v>0</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55</v>
      </c>
      <c r="T14" s="9">
        <f t="shared" si="13"/>
        <v>325</v>
      </c>
      <c r="U14" s="9" t="str">
        <f t="shared" si="10"/>
        <v>0155</v>
      </c>
      <c r="V14" s="9">
        <f t="shared" si="11"/>
        <v>0</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3C</v>
      </c>
      <c r="E15" s="6">
        <f t="shared" si="3"/>
        <v>300</v>
      </c>
      <c r="F15" s="7" t="str">
        <f t="shared" si="12"/>
        <v>013C</v>
      </c>
      <c r="G15" s="7">
        <f t="shared" si="5"/>
        <v>0</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54</v>
      </c>
      <c r="T15" s="9">
        <f t="shared" si="13"/>
        <v>324</v>
      </c>
      <c r="U15" s="9" t="str">
        <f t="shared" si="10"/>
        <v>0154</v>
      </c>
      <c r="V15" s="9">
        <f t="shared" si="11"/>
        <v>0</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3B</v>
      </c>
      <c r="E16" s="6">
        <f t="shared" si="3"/>
        <v>299</v>
      </c>
      <c r="F16" s="7" t="str">
        <f t="shared" si="12"/>
        <v>013B</v>
      </c>
      <c r="G16" s="7">
        <f t="shared" si="5"/>
        <v>0</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53</v>
      </c>
      <c r="T16" s="9">
        <f t="shared" si="13"/>
        <v>323</v>
      </c>
      <c r="U16" s="9" t="str">
        <f t="shared" si="10"/>
        <v>0153</v>
      </c>
      <c r="V16" s="9">
        <f t="shared" si="11"/>
        <v>0</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3A</v>
      </c>
      <c r="E17" s="6">
        <f t="shared" si="3"/>
        <v>298</v>
      </c>
      <c r="F17" s="7" t="str">
        <f t="shared" si="12"/>
        <v>013A</v>
      </c>
      <c r="G17" s="7">
        <f t="shared" si="5"/>
        <v>0</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52</v>
      </c>
      <c r="T17" s="9">
        <f t="shared" si="13"/>
        <v>322</v>
      </c>
      <c r="U17" s="9" t="str">
        <f t="shared" si="10"/>
        <v>0152</v>
      </c>
      <c r="V17" s="9">
        <f t="shared" si="11"/>
        <v>0</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39</v>
      </c>
      <c r="E18" s="6">
        <f t="shared" si="3"/>
        <v>297</v>
      </c>
      <c r="F18" s="7" t="str">
        <f t="shared" si="12"/>
        <v>0139</v>
      </c>
      <c r="G18" s="7">
        <f t="shared" si="5"/>
        <v>0</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51</v>
      </c>
      <c r="T18" s="9">
        <f t="shared" si="13"/>
        <v>321</v>
      </c>
      <c r="U18" s="9" t="str">
        <f t="shared" si="10"/>
        <v>0151</v>
      </c>
      <c r="V18" s="9">
        <f t="shared" si="11"/>
        <v>0</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38</v>
      </c>
      <c r="E19" s="6">
        <f>E20+1</f>
        <v>296</v>
      </c>
      <c r="F19" s="7" t="str">
        <f t="shared" si="12"/>
        <v>0138</v>
      </c>
      <c r="G19" s="7">
        <f t="shared" si="5"/>
        <v>0</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50</v>
      </c>
      <c r="T19" s="9">
        <f t="shared" si="13"/>
        <v>320</v>
      </c>
      <c r="U19" s="9" t="str">
        <f t="shared" si="10"/>
        <v>0150</v>
      </c>
      <c r="V19" s="9">
        <f t="shared" si="11"/>
        <v>0</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4">B21+1</f>
        <v>7</v>
      </c>
      <c r="C20" s="9" t="str">
        <f t="shared" si="1"/>
        <v>1</v>
      </c>
      <c r="D20" s="9" t="str">
        <f t="shared" si="2"/>
        <v>37</v>
      </c>
      <c r="E20" s="9">
        <f t="shared" ref="E20:E25" si="15">E21+1</f>
        <v>295</v>
      </c>
      <c r="F20" s="9" t="str">
        <f t="shared" si="12"/>
        <v>0137</v>
      </c>
      <c r="G20" s="10">
        <f t="shared" si="5"/>
        <v>0</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4F</v>
      </c>
      <c r="T20" s="9">
        <f t="shared" si="13"/>
        <v>319</v>
      </c>
      <c r="U20" s="9" t="str">
        <f t="shared" si="10"/>
        <v>014F</v>
      </c>
      <c r="V20" s="9">
        <f t="shared" si="11"/>
        <v>0</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4"/>
        <v>6</v>
      </c>
      <c r="C21" s="9" t="str">
        <f t="shared" si="1"/>
        <v>1</v>
      </c>
      <c r="D21" s="9" t="str">
        <f t="shared" si="2"/>
        <v>36</v>
      </c>
      <c r="E21" s="9">
        <f t="shared" si="15"/>
        <v>294</v>
      </c>
      <c r="F21" s="9" t="str">
        <f t="shared" si="12"/>
        <v>0136</v>
      </c>
      <c r="G21" s="10">
        <f t="shared" si="5"/>
        <v>0</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4E</v>
      </c>
      <c r="T21" s="9">
        <f t="shared" si="13"/>
        <v>318</v>
      </c>
      <c r="U21" s="9" t="str">
        <f t="shared" si="10"/>
        <v>014E</v>
      </c>
      <c r="V21" s="9">
        <f t="shared" si="11"/>
        <v>0</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4"/>
        <v>5</v>
      </c>
      <c r="C22" s="9" t="str">
        <f t="shared" si="1"/>
        <v>1</v>
      </c>
      <c r="D22" s="9" t="str">
        <f t="shared" si="2"/>
        <v>35</v>
      </c>
      <c r="E22" s="9">
        <f t="shared" si="15"/>
        <v>293</v>
      </c>
      <c r="F22" s="9" t="str">
        <f t="shared" si="12"/>
        <v>0135</v>
      </c>
      <c r="G22" s="10">
        <f t="shared" si="5"/>
        <v>0</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4D</v>
      </c>
      <c r="T22" s="9">
        <f t="shared" si="13"/>
        <v>317</v>
      </c>
      <c r="U22" s="9" t="str">
        <f t="shared" si="10"/>
        <v>014D</v>
      </c>
      <c r="V22" s="9">
        <f t="shared" si="11"/>
        <v>0</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4"/>
        <v>4</v>
      </c>
      <c r="C23" s="9" t="str">
        <f t="shared" si="1"/>
        <v>1</v>
      </c>
      <c r="D23" s="9" t="str">
        <f t="shared" si="2"/>
        <v>34</v>
      </c>
      <c r="E23" s="9">
        <f t="shared" si="15"/>
        <v>292</v>
      </c>
      <c r="F23" s="9" t="str">
        <f t="shared" si="12"/>
        <v>0134</v>
      </c>
      <c r="G23" s="10">
        <f t="shared" si="5"/>
        <v>0</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4C</v>
      </c>
      <c r="T23" s="9">
        <f t="shared" si="13"/>
        <v>316</v>
      </c>
      <c r="U23" s="9" t="str">
        <f t="shared" si="10"/>
        <v>014C</v>
      </c>
      <c r="V23" s="9">
        <f t="shared" si="11"/>
        <v>0</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4"/>
        <v>3</v>
      </c>
      <c r="C24" s="9" t="str">
        <f t="shared" si="1"/>
        <v>1</v>
      </c>
      <c r="D24" s="9" t="str">
        <f t="shared" si="2"/>
        <v>33</v>
      </c>
      <c r="E24" s="9">
        <f t="shared" si="15"/>
        <v>291</v>
      </c>
      <c r="F24" s="9" t="str">
        <f t="shared" si="12"/>
        <v>0133</v>
      </c>
      <c r="G24" s="10">
        <f t="shared" si="5"/>
        <v>0</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4B</v>
      </c>
      <c r="T24" s="9">
        <f t="shared" si="13"/>
        <v>315</v>
      </c>
      <c r="U24" s="9" t="str">
        <f t="shared" si="10"/>
        <v>014B</v>
      </c>
      <c r="V24" s="9">
        <f t="shared" si="11"/>
        <v>0</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4"/>
        <v>2</v>
      </c>
      <c r="C25" s="9" t="str">
        <f t="shared" si="1"/>
        <v>1</v>
      </c>
      <c r="D25" s="9" t="str">
        <f t="shared" si="2"/>
        <v>32</v>
      </c>
      <c r="E25" s="9">
        <f t="shared" si="15"/>
        <v>290</v>
      </c>
      <c r="F25" s="9" t="str">
        <f t="shared" si="12"/>
        <v>0132</v>
      </c>
      <c r="G25" s="10">
        <f t="shared" si="5"/>
        <v>0</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4A</v>
      </c>
      <c r="T25" s="9">
        <f t="shared" si="13"/>
        <v>314</v>
      </c>
      <c r="U25" s="9" t="str">
        <f t="shared" si="10"/>
        <v>014A</v>
      </c>
      <c r="V25" s="9">
        <f t="shared" si="11"/>
        <v>0</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31</v>
      </c>
      <c r="E26" s="9">
        <f>E27+1</f>
        <v>289</v>
      </c>
      <c r="F26" s="9" t="str">
        <f t="shared" si="12"/>
        <v>0131</v>
      </c>
      <c r="G26" s="10">
        <f>G27</f>
        <v>0</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49</v>
      </c>
      <c r="T26" s="9">
        <f>T27+1</f>
        <v>313</v>
      </c>
      <c r="U26" s="9" t="str">
        <f t="shared" si="10"/>
        <v>0149</v>
      </c>
      <c r="V26" s="9">
        <f>V27</f>
        <v>0</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7'!R4</f>
        <v>1</v>
      </c>
      <c r="D27" s="9" t="str">
        <f>DEC2HEX(HEX2DEC('Slot 7'!S4)+1)</f>
        <v>30</v>
      </c>
      <c r="E27" s="9">
        <v>288</v>
      </c>
      <c r="F27" s="9" t="str">
        <f>IF(HEX2DEC(D27)&gt;15,IF(HEX2DEC(C27) &gt; 15,CONCATENATE(C27,D27),CONCATENATE("0",C27,D27)),IF(HEX2DEC(C27) &gt; 15,CONCATENATE(C27,"0",D27),CONCATENATE("0",C27,"0",D27)))</f>
        <v>0130</v>
      </c>
      <c r="G27" s="10">
        <f>'Slot 7'!V4</f>
        <v>0</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48</v>
      </c>
      <c r="T27" s="9">
        <f>E4+1</f>
        <v>312</v>
      </c>
      <c r="U27" s="9" t="str">
        <f>IF(HEX2DEC(S27)&gt;15,IF(HEX2DEC(R27) &gt; 15,CONCATENATE(R27,S27),CONCATENATE("0",R27,S27)),IF(HEX2DEC(R27) &gt; 15,CONCATENATE(R27,"0",S27),CONCATENATE("0",R27,"0",S27)))</f>
        <v>0148</v>
      </c>
      <c r="V27" s="9">
        <f>G4</f>
        <v>0</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3" t="s">
        <v>2</v>
      </c>
      <c r="G29" s="34"/>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3" t="s">
        <v>3</v>
      </c>
      <c r="G31" s="34"/>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7EFD44CF-F6ED-4365-AFA5-785EFFDC436C}">
      <formula1>"Enable,Disable,Persistent Disable"</formula1>
    </dataValidation>
  </dataValidations>
  <pageMargins left="0.7" right="0.7" top="0.75" bottom="0.75" header="0.3" footer="0.3"/>
  <pageSetup orientation="landscape" horizont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4B2D-0016-490B-9F8E-E28F41C8171A}">
  <sheetPr>
    <tabColor theme="6" tint="-0.249977111117893"/>
  </sheetPr>
  <dimension ref="B1:AJ41"/>
  <sheetViews>
    <sheetView workbookViewId="0">
      <selection activeCell="I2" sqref="I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0" x14ac:dyDescent="0.25">
      <c r="B1" s="35" t="s">
        <v>1</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0" s="12" customFormat="1" ht="60" x14ac:dyDescent="0.25">
      <c r="B2" s="13" t="s">
        <v>0</v>
      </c>
      <c r="C2" s="13" t="s">
        <v>7</v>
      </c>
      <c r="D2" s="13" t="s">
        <v>8</v>
      </c>
      <c r="E2" s="13" t="s">
        <v>296</v>
      </c>
      <c r="F2" s="13" t="s">
        <v>6</v>
      </c>
      <c r="G2" s="13" t="s">
        <v>5</v>
      </c>
      <c r="H2" s="13" t="s">
        <v>413</v>
      </c>
      <c r="I2" s="13" t="s">
        <v>317</v>
      </c>
      <c r="J2" s="13" t="s">
        <v>416</v>
      </c>
      <c r="K2" s="13" t="s">
        <v>4</v>
      </c>
      <c r="L2" s="13" t="s">
        <v>277</v>
      </c>
      <c r="M2" s="13" t="s">
        <v>9</v>
      </c>
      <c r="N2" s="13" t="s">
        <v>10</v>
      </c>
      <c r="O2" s="13" t="s">
        <v>11</v>
      </c>
      <c r="Q2" s="13" t="s">
        <v>0</v>
      </c>
      <c r="R2" s="13" t="s">
        <v>7</v>
      </c>
      <c r="S2" s="13" t="s">
        <v>8</v>
      </c>
      <c r="T2" s="13" t="s">
        <v>296</v>
      </c>
      <c r="U2" s="13" t="s">
        <v>6</v>
      </c>
      <c r="V2" s="13" t="s">
        <v>5</v>
      </c>
      <c r="W2" s="13" t="s">
        <v>413</v>
      </c>
      <c r="X2" s="13" t="s">
        <v>317</v>
      </c>
      <c r="Y2" s="13" t="s">
        <v>416</v>
      </c>
      <c r="Z2" s="13" t="s">
        <v>4</v>
      </c>
      <c r="AA2" s="13" t="s">
        <v>277</v>
      </c>
      <c r="AB2" s="13" t="s">
        <v>9</v>
      </c>
      <c r="AC2" s="13" t="s">
        <v>10</v>
      </c>
      <c r="AD2" s="13" t="s">
        <v>11</v>
      </c>
    </row>
    <row r="3" spans="2:30" ht="6" customHeight="1" x14ac:dyDescent="0.25">
      <c r="Q3" s="1"/>
      <c r="AB3" s="3"/>
    </row>
    <row r="4" spans="2:30" ht="15" customHeight="1" x14ac:dyDescent="0.25">
      <c r="B4" s="9">
        <f t="shared" ref="B4:B26" si="0">B5+1</f>
        <v>31</v>
      </c>
      <c r="C4" s="9">
        <f t="shared" ref="C4:C33" si="1">C5</f>
        <v>1</v>
      </c>
      <c r="D4" s="9" t="str">
        <f t="shared" ref="D4:D33" si="2">DEC2HEX(HEX2DEC(D5)+1)</f>
        <v>1F</v>
      </c>
      <c r="E4" s="9">
        <f t="shared" ref="E4:E26" si="3">E5+1</f>
        <v>31</v>
      </c>
      <c r="F4" s="9" t="str">
        <f t="shared" ref="F4:F34" si="4">IF(HEX2DEC(D4)&gt;15,IF(HEX2DEC(C4) &gt; 15,CONCATENATE(C4,D4),CONCATENATE("0",C4,D4)),IF(HEX2DEC(C4) &gt; 15,CONCATENATE(C4,"0",D4),CONCATENATE("0",C4,"0",D4)))</f>
        <v>011F</v>
      </c>
      <c r="G4" s="9">
        <f t="shared" ref="G4:G33" si="5">G5</f>
        <v>1</v>
      </c>
      <c r="H4" s="9"/>
      <c r="I4" s="9"/>
      <c r="J4" s="9"/>
      <c r="K4" s="11"/>
      <c r="L4" s="11"/>
      <c r="M4" s="10">
        <v>9</v>
      </c>
      <c r="N4" s="10">
        <v>5</v>
      </c>
      <c r="O4" s="10">
        <v>10</v>
      </c>
      <c r="P4" s="2"/>
      <c r="Q4" s="6">
        <f t="shared" ref="Q4:Q33" si="6">Q5+1</f>
        <v>63</v>
      </c>
      <c r="R4" s="6">
        <f t="shared" ref="R4:R33" si="7">R5</f>
        <v>1</v>
      </c>
      <c r="S4" s="6" t="str">
        <f t="shared" ref="S4:S33" si="8">DEC2HEX(HEX2DEC(S5)+1)</f>
        <v>3F</v>
      </c>
      <c r="T4" s="6">
        <f t="shared" ref="T4:T18" si="9">T5+1</f>
        <v>63</v>
      </c>
      <c r="U4" s="6" t="str">
        <f t="shared" ref="U4:U34" si="10">IF(HEX2DEC(S4)&gt;15,IF(HEX2DEC(R4) &gt; 15,CONCATENATE(R4,S4),CONCATENATE("0",R4,S4)),IF(HEX2DEC(R4) &gt; 15,CONCATENATE(R4,"0",S4),CONCATENATE("0",R4,"0",S4)))</f>
        <v>013F</v>
      </c>
      <c r="V4" s="6">
        <f t="shared" ref="V4:V33" si="11">V5</f>
        <v>1</v>
      </c>
      <c r="W4" s="6"/>
      <c r="X4" s="6"/>
      <c r="Y4" s="6"/>
      <c r="Z4" s="8"/>
      <c r="AA4" s="8"/>
      <c r="AB4" s="7">
        <v>9</v>
      </c>
      <c r="AC4" s="7">
        <v>5</v>
      </c>
      <c r="AD4" s="7">
        <v>10</v>
      </c>
    </row>
    <row r="5" spans="2:30" ht="15" customHeight="1" x14ac:dyDescent="0.25">
      <c r="B5" s="9">
        <f t="shared" si="0"/>
        <v>30</v>
      </c>
      <c r="C5" s="9">
        <f t="shared" si="1"/>
        <v>1</v>
      </c>
      <c r="D5" s="9" t="str">
        <f t="shared" si="2"/>
        <v>1E</v>
      </c>
      <c r="E5" s="9">
        <f t="shared" si="3"/>
        <v>30</v>
      </c>
      <c r="F5" s="9" t="str">
        <f t="shared" si="4"/>
        <v>011E</v>
      </c>
      <c r="G5" s="9">
        <f t="shared" si="5"/>
        <v>1</v>
      </c>
      <c r="H5" s="9"/>
      <c r="I5" s="9"/>
      <c r="J5" s="9"/>
      <c r="K5" s="11"/>
      <c r="L5" s="11"/>
      <c r="M5" s="10">
        <v>8</v>
      </c>
      <c r="N5" s="10">
        <v>4</v>
      </c>
      <c r="O5" s="10">
        <v>14</v>
      </c>
      <c r="P5" s="2"/>
      <c r="Q5" s="6">
        <f t="shared" si="6"/>
        <v>62</v>
      </c>
      <c r="R5" s="6">
        <f t="shared" si="7"/>
        <v>1</v>
      </c>
      <c r="S5" s="6" t="str">
        <f t="shared" si="8"/>
        <v>3E</v>
      </c>
      <c r="T5" s="6">
        <f t="shared" si="9"/>
        <v>62</v>
      </c>
      <c r="U5" s="6" t="str">
        <f t="shared" si="10"/>
        <v>013E</v>
      </c>
      <c r="V5" s="6">
        <f t="shared" si="11"/>
        <v>1</v>
      </c>
      <c r="W5" s="6"/>
      <c r="X5" s="6"/>
      <c r="Y5" s="6"/>
      <c r="Z5" s="8"/>
      <c r="AA5" s="8"/>
      <c r="AB5" s="7">
        <v>8</v>
      </c>
      <c r="AC5" s="7">
        <v>4</v>
      </c>
      <c r="AD5" s="7">
        <v>14</v>
      </c>
    </row>
    <row r="6" spans="2:30" ht="15" customHeight="1" x14ac:dyDescent="0.25">
      <c r="B6" s="9">
        <f t="shared" si="0"/>
        <v>29</v>
      </c>
      <c r="C6" s="9">
        <f t="shared" si="1"/>
        <v>1</v>
      </c>
      <c r="D6" s="9" t="str">
        <f t="shared" si="2"/>
        <v>1D</v>
      </c>
      <c r="E6" s="9">
        <f t="shared" si="3"/>
        <v>29</v>
      </c>
      <c r="F6" s="9" t="str">
        <f t="shared" si="4"/>
        <v>011D</v>
      </c>
      <c r="G6" s="9">
        <f t="shared" si="5"/>
        <v>1</v>
      </c>
      <c r="H6" s="9"/>
      <c r="I6" s="9"/>
      <c r="J6" s="9"/>
      <c r="K6" s="11"/>
      <c r="L6" s="11"/>
      <c r="M6" s="10">
        <v>9</v>
      </c>
      <c r="N6" s="10">
        <v>3</v>
      </c>
      <c r="O6" s="10">
        <v>13</v>
      </c>
      <c r="P6" s="2"/>
      <c r="Q6" s="6">
        <f t="shared" si="6"/>
        <v>61</v>
      </c>
      <c r="R6" s="6">
        <f t="shared" si="7"/>
        <v>1</v>
      </c>
      <c r="S6" s="6" t="str">
        <f t="shared" si="8"/>
        <v>3D</v>
      </c>
      <c r="T6" s="6">
        <f t="shared" si="9"/>
        <v>61</v>
      </c>
      <c r="U6" s="6" t="str">
        <f t="shared" si="10"/>
        <v>013D</v>
      </c>
      <c r="V6" s="6">
        <f t="shared" si="11"/>
        <v>1</v>
      </c>
      <c r="W6" s="6"/>
      <c r="X6" s="6"/>
      <c r="Y6" s="6"/>
      <c r="Z6" s="8"/>
      <c r="AA6" s="8"/>
      <c r="AB6" s="7">
        <v>9</v>
      </c>
      <c r="AC6" s="7">
        <v>3</v>
      </c>
      <c r="AD6" s="7">
        <v>13</v>
      </c>
    </row>
    <row r="7" spans="2:30" ht="15" customHeight="1" x14ac:dyDescent="0.25">
      <c r="B7" s="9">
        <f t="shared" si="0"/>
        <v>28</v>
      </c>
      <c r="C7" s="9">
        <f t="shared" si="1"/>
        <v>1</v>
      </c>
      <c r="D7" s="9" t="str">
        <f t="shared" si="2"/>
        <v>1C</v>
      </c>
      <c r="E7" s="9">
        <f t="shared" si="3"/>
        <v>28</v>
      </c>
      <c r="F7" s="9" t="str">
        <f t="shared" si="4"/>
        <v>011C</v>
      </c>
      <c r="G7" s="9">
        <f t="shared" si="5"/>
        <v>1</v>
      </c>
      <c r="H7" s="9"/>
      <c r="I7" s="9"/>
      <c r="J7" s="9"/>
      <c r="K7" s="11"/>
      <c r="L7" s="11"/>
      <c r="M7" s="10">
        <v>8</v>
      </c>
      <c r="N7" s="10">
        <v>2</v>
      </c>
      <c r="O7" s="10">
        <v>12</v>
      </c>
      <c r="P7" s="2"/>
      <c r="Q7" s="6">
        <f t="shared" si="6"/>
        <v>60</v>
      </c>
      <c r="R7" s="6">
        <f t="shared" si="7"/>
        <v>1</v>
      </c>
      <c r="S7" s="6" t="str">
        <f t="shared" si="8"/>
        <v>3C</v>
      </c>
      <c r="T7" s="6">
        <f t="shared" si="9"/>
        <v>60</v>
      </c>
      <c r="U7" s="6" t="str">
        <f t="shared" si="10"/>
        <v>013C</v>
      </c>
      <c r="V7" s="6">
        <f t="shared" si="11"/>
        <v>1</v>
      </c>
      <c r="W7" s="6"/>
      <c r="X7" s="6"/>
      <c r="Y7" s="6"/>
      <c r="Z7" s="8"/>
      <c r="AA7" s="8"/>
      <c r="AB7" s="7">
        <v>8</v>
      </c>
      <c r="AC7" s="7">
        <v>2</v>
      </c>
      <c r="AD7" s="7">
        <v>12</v>
      </c>
    </row>
    <row r="8" spans="2:30" ht="15" customHeight="1" x14ac:dyDescent="0.25">
      <c r="B8" s="9">
        <f t="shared" si="0"/>
        <v>27</v>
      </c>
      <c r="C8" s="9">
        <f t="shared" si="1"/>
        <v>1</v>
      </c>
      <c r="D8" s="9" t="str">
        <f t="shared" si="2"/>
        <v>1B</v>
      </c>
      <c r="E8" s="9">
        <f t="shared" si="3"/>
        <v>27</v>
      </c>
      <c r="F8" s="9" t="str">
        <f t="shared" si="4"/>
        <v>011B</v>
      </c>
      <c r="G8" s="9">
        <f t="shared" si="5"/>
        <v>1</v>
      </c>
      <c r="H8" s="9"/>
      <c r="I8" s="9"/>
      <c r="J8" s="9"/>
      <c r="K8" s="11"/>
      <c r="L8" s="11"/>
      <c r="M8" s="10">
        <v>9</v>
      </c>
      <c r="N8" s="10">
        <v>5</v>
      </c>
      <c r="O8" s="10">
        <v>11</v>
      </c>
      <c r="P8" s="2"/>
      <c r="Q8" s="6">
        <f t="shared" si="6"/>
        <v>59</v>
      </c>
      <c r="R8" s="6">
        <f t="shared" si="7"/>
        <v>1</v>
      </c>
      <c r="S8" s="6" t="str">
        <f t="shared" si="8"/>
        <v>3B</v>
      </c>
      <c r="T8" s="6">
        <f t="shared" si="9"/>
        <v>59</v>
      </c>
      <c r="U8" s="6" t="str">
        <f t="shared" si="10"/>
        <v>013B</v>
      </c>
      <c r="V8" s="6">
        <f t="shared" si="11"/>
        <v>1</v>
      </c>
      <c r="W8" s="6"/>
      <c r="X8" s="6"/>
      <c r="Y8" s="6"/>
      <c r="Z8" s="8"/>
      <c r="AA8" s="8"/>
      <c r="AB8" s="7">
        <v>9</v>
      </c>
      <c r="AC8" s="7">
        <v>5</v>
      </c>
      <c r="AD8" s="7">
        <v>11</v>
      </c>
    </row>
    <row r="9" spans="2:30" ht="15" customHeight="1" x14ac:dyDescent="0.25">
      <c r="B9" s="9">
        <f t="shared" si="0"/>
        <v>26</v>
      </c>
      <c r="C9" s="9">
        <f t="shared" si="1"/>
        <v>1</v>
      </c>
      <c r="D9" s="9" t="str">
        <f t="shared" si="2"/>
        <v>1A</v>
      </c>
      <c r="E9" s="9">
        <f t="shared" si="3"/>
        <v>26</v>
      </c>
      <c r="F9" s="9" t="str">
        <f t="shared" si="4"/>
        <v>011A</v>
      </c>
      <c r="G9" s="9">
        <f t="shared" si="5"/>
        <v>1</v>
      </c>
      <c r="H9" s="9"/>
      <c r="I9" s="9"/>
      <c r="J9" s="9"/>
      <c r="K9" s="11"/>
      <c r="L9" s="11"/>
      <c r="M9" s="10">
        <v>8</v>
      </c>
      <c r="N9" s="10">
        <v>4</v>
      </c>
      <c r="O9" s="10">
        <v>10</v>
      </c>
      <c r="P9" s="2"/>
      <c r="Q9" s="6">
        <f t="shared" si="6"/>
        <v>58</v>
      </c>
      <c r="R9" s="6">
        <f t="shared" si="7"/>
        <v>1</v>
      </c>
      <c r="S9" s="6" t="str">
        <f t="shared" si="8"/>
        <v>3A</v>
      </c>
      <c r="T9" s="6">
        <f t="shared" si="9"/>
        <v>58</v>
      </c>
      <c r="U9" s="6" t="str">
        <f t="shared" si="10"/>
        <v>013A</v>
      </c>
      <c r="V9" s="6">
        <f t="shared" si="11"/>
        <v>1</v>
      </c>
      <c r="W9" s="6"/>
      <c r="X9" s="6"/>
      <c r="Y9" s="6"/>
      <c r="Z9" s="8"/>
      <c r="AA9" s="8"/>
      <c r="AB9" s="7">
        <v>8</v>
      </c>
      <c r="AC9" s="7">
        <v>4</v>
      </c>
      <c r="AD9" s="7">
        <v>10</v>
      </c>
    </row>
    <row r="10" spans="2:30" ht="15" customHeight="1" x14ac:dyDescent="0.25">
      <c r="B10" s="9">
        <f t="shared" si="0"/>
        <v>25</v>
      </c>
      <c r="C10" s="9">
        <f t="shared" si="1"/>
        <v>1</v>
      </c>
      <c r="D10" s="9" t="str">
        <f t="shared" si="2"/>
        <v>19</v>
      </c>
      <c r="E10" s="9">
        <f t="shared" si="3"/>
        <v>25</v>
      </c>
      <c r="F10" s="9" t="str">
        <f t="shared" si="4"/>
        <v>0119</v>
      </c>
      <c r="G10" s="9">
        <f t="shared" si="5"/>
        <v>1</v>
      </c>
      <c r="H10" s="9"/>
      <c r="I10" s="9"/>
      <c r="J10" s="9"/>
      <c r="K10" s="11"/>
      <c r="L10" s="11"/>
      <c r="M10" s="10">
        <v>9</v>
      </c>
      <c r="N10" s="10">
        <v>3</v>
      </c>
      <c r="O10" s="10">
        <v>14</v>
      </c>
      <c r="P10" s="2"/>
      <c r="Q10" s="6">
        <f t="shared" si="6"/>
        <v>57</v>
      </c>
      <c r="R10" s="6">
        <f t="shared" si="7"/>
        <v>1</v>
      </c>
      <c r="S10" s="6" t="str">
        <f t="shared" si="8"/>
        <v>39</v>
      </c>
      <c r="T10" s="6">
        <f t="shared" si="9"/>
        <v>57</v>
      </c>
      <c r="U10" s="6" t="str">
        <f t="shared" si="10"/>
        <v>0139</v>
      </c>
      <c r="V10" s="6">
        <f t="shared" si="11"/>
        <v>1</v>
      </c>
      <c r="W10" s="6"/>
      <c r="X10" s="6"/>
      <c r="Y10" s="6"/>
      <c r="Z10" s="8"/>
      <c r="AA10" s="8"/>
      <c r="AB10" s="7">
        <v>9</v>
      </c>
      <c r="AC10" s="7">
        <v>3</v>
      </c>
      <c r="AD10" s="7">
        <v>14</v>
      </c>
    </row>
    <row r="11" spans="2:30" ht="15" customHeight="1" x14ac:dyDescent="0.25">
      <c r="B11" s="9">
        <f t="shared" si="0"/>
        <v>24</v>
      </c>
      <c r="C11" s="9">
        <f t="shared" si="1"/>
        <v>1</v>
      </c>
      <c r="D11" s="9" t="str">
        <f t="shared" si="2"/>
        <v>18</v>
      </c>
      <c r="E11" s="9">
        <f t="shared" si="3"/>
        <v>24</v>
      </c>
      <c r="F11" s="9" t="str">
        <f t="shared" si="4"/>
        <v>0118</v>
      </c>
      <c r="G11" s="9">
        <f t="shared" si="5"/>
        <v>1</v>
      </c>
      <c r="H11" s="9"/>
      <c r="I11" s="9"/>
      <c r="J11" s="9"/>
      <c r="K11" s="11"/>
      <c r="L11" s="11"/>
      <c r="M11" s="10">
        <v>8</v>
      </c>
      <c r="N11" s="10">
        <v>2</v>
      </c>
      <c r="O11" s="10">
        <v>13</v>
      </c>
      <c r="P11" s="2"/>
      <c r="Q11" s="6">
        <f t="shared" si="6"/>
        <v>56</v>
      </c>
      <c r="R11" s="6">
        <f t="shared" si="7"/>
        <v>1</v>
      </c>
      <c r="S11" s="6" t="str">
        <f t="shared" si="8"/>
        <v>38</v>
      </c>
      <c r="T11" s="6">
        <f t="shared" si="9"/>
        <v>56</v>
      </c>
      <c r="U11" s="6" t="str">
        <f t="shared" si="10"/>
        <v>0138</v>
      </c>
      <c r="V11" s="6">
        <f t="shared" si="11"/>
        <v>1</v>
      </c>
      <c r="W11" s="6"/>
      <c r="X11" s="6"/>
      <c r="Y11" s="6"/>
      <c r="Z11" s="8"/>
      <c r="AA11" s="8"/>
      <c r="AB11" s="7">
        <v>8</v>
      </c>
      <c r="AC11" s="7">
        <v>2</v>
      </c>
      <c r="AD11" s="7">
        <v>13</v>
      </c>
    </row>
    <row r="12" spans="2:30" ht="15" customHeight="1" x14ac:dyDescent="0.25">
      <c r="B12" s="9">
        <f t="shared" si="0"/>
        <v>23</v>
      </c>
      <c r="C12" s="9">
        <f t="shared" si="1"/>
        <v>1</v>
      </c>
      <c r="D12" s="9" t="str">
        <f t="shared" si="2"/>
        <v>17</v>
      </c>
      <c r="E12" s="9">
        <f t="shared" si="3"/>
        <v>23</v>
      </c>
      <c r="F12" s="9" t="str">
        <f t="shared" si="4"/>
        <v>0117</v>
      </c>
      <c r="G12" s="9">
        <f t="shared" si="5"/>
        <v>1</v>
      </c>
      <c r="H12" s="9"/>
      <c r="I12" s="9"/>
      <c r="J12" s="9"/>
      <c r="K12" s="11"/>
      <c r="L12" s="11"/>
      <c r="M12" s="10">
        <v>9</v>
      </c>
      <c r="N12" s="10">
        <v>5</v>
      </c>
      <c r="O12" s="10">
        <v>12</v>
      </c>
      <c r="P12" s="2"/>
      <c r="Q12" s="6">
        <f t="shared" si="6"/>
        <v>55</v>
      </c>
      <c r="R12" s="6">
        <f t="shared" si="7"/>
        <v>1</v>
      </c>
      <c r="S12" s="6" t="str">
        <f t="shared" si="8"/>
        <v>37</v>
      </c>
      <c r="T12" s="6">
        <f t="shared" si="9"/>
        <v>55</v>
      </c>
      <c r="U12" s="6" t="str">
        <f t="shared" si="10"/>
        <v>0137</v>
      </c>
      <c r="V12" s="6">
        <f t="shared" si="11"/>
        <v>1</v>
      </c>
      <c r="W12" s="6"/>
      <c r="X12" s="6"/>
      <c r="Y12" s="6"/>
      <c r="Z12" s="8"/>
      <c r="AA12" s="8"/>
      <c r="AB12" s="7">
        <v>9</v>
      </c>
      <c r="AC12" s="7">
        <v>5</v>
      </c>
      <c r="AD12" s="7">
        <v>12</v>
      </c>
    </row>
    <row r="13" spans="2:30" ht="15" customHeight="1" x14ac:dyDescent="0.25">
      <c r="B13" s="9">
        <f t="shared" si="0"/>
        <v>22</v>
      </c>
      <c r="C13" s="9">
        <f t="shared" si="1"/>
        <v>1</v>
      </c>
      <c r="D13" s="9" t="str">
        <f t="shared" si="2"/>
        <v>16</v>
      </c>
      <c r="E13" s="9">
        <f t="shared" si="3"/>
        <v>22</v>
      </c>
      <c r="F13" s="9" t="str">
        <f t="shared" si="4"/>
        <v>0116</v>
      </c>
      <c r="G13" s="9">
        <f t="shared" si="5"/>
        <v>1</v>
      </c>
      <c r="H13" s="9"/>
      <c r="I13" s="9"/>
      <c r="J13" s="9"/>
      <c r="K13" s="11"/>
      <c r="L13" s="11"/>
      <c r="M13" s="10">
        <v>8</v>
      </c>
      <c r="N13" s="10">
        <v>4</v>
      </c>
      <c r="O13" s="10">
        <v>11</v>
      </c>
      <c r="P13" s="2"/>
      <c r="Q13" s="6">
        <f t="shared" si="6"/>
        <v>54</v>
      </c>
      <c r="R13" s="6">
        <f t="shared" si="7"/>
        <v>1</v>
      </c>
      <c r="S13" s="6" t="str">
        <f t="shared" si="8"/>
        <v>36</v>
      </c>
      <c r="T13" s="6">
        <f t="shared" si="9"/>
        <v>54</v>
      </c>
      <c r="U13" s="6" t="str">
        <f t="shared" si="10"/>
        <v>0136</v>
      </c>
      <c r="V13" s="6">
        <f t="shared" si="11"/>
        <v>1</v>
      </c>
      <c r="W13" s="6"/>
      <c r="X13" s="6"/>
      <c r="Y13" s="6"/>
      <c r="Z13" s="8"/>
      <c r="AA13" s="8"/>
      <c r="AB13" s="7">
        <v>8</v>
      </c>
      <c r="AC13" s="7">
        <v>4</v>
      </c>
      <c r="AD13" s="7">
        <v>11</v>
      </c>
    </row>
    <row r="14" spans="2:30" ht="15" customHeight="1" x14ac:dyDescent="0.25">
      <c r="B14" s="9">
        <f t="shared" si="0"/>
        <v>21</v>
      </c>
      <c r="C14" s="9">
        <f t="shared" si="1"/>
        <v>1</v>
      </c>
      <c r="D14" s="9" t="str">
        <f t="shared" si="2"/>
        <v>15</v>
      </c>
      <c r="E14" s="9">
        <f t="shared" si="3"/>
        <v>21</v>
      </c>
      <c r="F14" s="9" t="str">
        <f t="shared" si="4"/>
        <v>0115</v>
      </c>
      <c r="G14" s="9">
        <f t="shared" si="5"/>
        <v>1</v>
      </c>
      <c r="H14" s="9"/>
      <c r="I14" s="9"/>
      <c r="J14" s="9"/>
      <c r="K14" s="11"/>
      <c r="L14" s="11"/>
      <c r="M14" s="10">
        <v>9</v>
      </c>
      <c r="N14" s="10">
        <v>3</v>
      </c>
      <c r="O14" s="10">
        <v>10</v>
      </c>
      <c r="P14" s="2"/>
      <c r="Q14" s="6">
        <f t="shared" si="6"/>
        <v>53</v>
      </c>
      <c r="R14" s="6">
        <f t="shared" si="7"/>
        <v>1</v>
      </c>
      <c r="S14" s="6" t="str">
        <f t="shared" si="8"/>
        <v>35</v>
      </c>
      <c r="T14" s="6">
        <f t="shared" si="9"/>
        <v>53</v>
      </c>
      <c r="U14" s="6" t="str">
        <f t="shared" si="10"/>
        <v>0135</v>
      </c>
      <c r="V14" s="6">
        <f t="shared" si="11"/>
        <v>1</v>
      </c>
      <c r="W14" s="6"/>
      <c r="X14" s="6"/>
      <c r="Y14" s="6"/>
      <c r="Z14" s="8"/>
      <c r="AA14" s="8"/>
      <c r="AB14" s="7">
        <v>9</v>
      </c>
      <c r="AC14" s="7">
        <v>3</v>
      </c>
      <c r="AD14" s="7">
        <v>10</v>
      </c>
    </row>
    <row r="15" spans="2:30" ht="15" customHeight="1" x14ac:dyDescent="0.25">
      <c r="B15" s="9">
        <f t="shared" si="0"/>
        <v>20</v>
      </c>
      <c r="C15" s="9">
        <f t="shared" si="1"/>
        <v>1</v>
      </c>
      <c r="D15" s="9" t="str">
        <f t="shared" si="2"/>
        <v>14</v>
      </c>
      <c r="E15" s="9">
        <f t="shared" si="3"/>
        <v>20</v>
      </c>
      <c r="F15" s="9" t="str">
        <f t="shared" si="4"/>
        <v>0114</v>
      </c>
      <c r="G15" s="9">
        <f t="shared" si="5"/>
        <v>1</v>
      </c>
      <c r="H15" s="9"/>
      <c r="I15" s="9"/>
      <c r="J15" s="9"/>
      <c r="K15" s="11"/>
      <c r="L15" s="11"/>
      <c r="M15" s="10">
        <v>8</v>
      </c>
      <c r="N15" s="10">
        <v>2</v>
      </c>
      <c r="O15" s="10">
        <v>14</v>
      </c>
      <c r="P15" s="2"/>
      <c r="Q15" s="6">
        <f t="shared" si="6"/>
        <v>52</v>
      </c>
      <c r="R15" s="6">
        <f t="shared" si="7"/>
        <v>1</v>
      </c>
      <c r="S15" s="6" t="str">
        <f t="shared" si="8"/>
        <v>34</v>
      </c>
      <c r="T15" s="6">
        <f t="shared" si="9"/>
        <v>52</v>
      </c>
      <c r="U15" s="6" t="str">
        <f t="shared" si="10"/>
        <v>0134</v>
      </c>
      <c r="V15" s="6">
        <f t="shared" si="11"/>
        <v>1</v>
      </c>
      <c r="W15" s="6"/>
      <c r="X15" s="6"/>
      <c r="Y15" s="6"/>
      <c r="Z15" s="8"/>
      <c r="AA15" s="8"/>
      <c r="AB15" s="7">
        <v>8</v>
      </c>
      <c r="AC15" s="7">
        <v>2</v>
      </c>
      <c r="AD15" s="7">
        <v>14</v>
      </c>
    </row>
    <row r="16" spans="2:30" ht="15" customHeight="1" x14ac:dyDescent="0.25">
      <c r="B16" s="9">
        <f t="shared" si="0"/>
        <v>19</v>
      </c>
      <c r="C16" s="9">
        <f t="shared" si="1"/>
        <v>1</v>
      </c>
      <c r="D16" s="9" t="str">
        <f t="shared" si="2"/>
        <v>13</v>
      </c>
      <c r="E16" s="9">
        <f t="shared" si="3"/>
        <v>19</v>
      </c>
      <c r="F16" s="9" t="str">
        <f t="shared" si="4"/>
        <v>0113</v>
      </c>
      <c r="G16" s="9">
        <f t="shared" si="5"/>
        <v>1</v>
      </c>
      <c r="H16" s="9"/>
      <c r="I16" s="9"/>
      <c r="J16" s="9"/>
      <c r="K16" s="11"/>
      <c r="L16" s="11"/>
      <c r="M16" s="10">
        <v>9</v>
      </c>
      <c r="N16" s="10">
        <v>5</v>
      </c>
      <c r="O16" s="10">
        <v>13</v>
      </c>
      <c r="P16" s="2"/>
      <c r="Q16" s="6">
        <f t="shared" si="6"/>
        <v>51</v>
      </c>
      <c r="R16" s="6">
        <f t="shared" si="7"/>
        <v>1</v>
      </c>
      <c r="S16" s="6" t="str">
        <f t="shared" si="8"/>
        <v>33</v>
      </c>
      <c r="T16" s="6">
        <f t="shared" si="9"/>
        <v>51</v>
      </c>
      <c r="U16" s="6" t="str">
        <f t="shared" si="10"/>
        <v>0133</v>
      </c>
      <c r="V16" s="6">
        <f t="shared" si="11"/>
        <v>1</v>
      </c>
      <c r="W16" s="6"/>
      <c r="X16" s="6"/>
      <c r="Y16" s="6"/>
      <c r="Z16" s="8"/>
      <c r="AA16" s="8"/>
      <c r="AB16" s="7">
        <v>9</v>
      </c>
      <c r="AC16" s="7">
        <v>5</v>
      </c>
      <c r="AD16" s="7">
        <v>13</v>
      </c>
    </row>
    <row r="17" spans="2:33" ht="15" customHeight="1" x14ac:dyDescent="0.25">
      <c r="B17" s="9">
        <f t="shared" si="0"/>
        <v>18</v>
      </c>
      <c r="C17" s="9">
        <f t="shared" si="1"/>
        <v>1</v>
      </c>
      <c r="D17" s="9" t="str">
        <f t="shared" si="2"/>
        <v>12</v>
      </c>
      <c r="E17" s="9">
        <f t="shared" si="3"/>
        <v>18</v>
      </c>
      <c r="F17" s="9" t="str">
        <f t="shared" si="4"/>
        <v>0112</v>
      </c>
      <c r="G17" s="9">
        <f t="shared" si="5"/>
        <v>1</v>
      </c>
      <c r="H17" s="9"/>
      <c r="I17" s="9"/>
      <c r="J17" s="9"/>
      <c r="K17" s="11"/>
      <c r="L17" s="11"/>
      <c r="M17" s="10">
        <v>8</v>
      </c>
      <c r="N17" s="10">
        <v>4</v>
      </c>
      <c r="O17" s="10">
        <v>12</v>
      </c>
      <c r="P17" s="2"/>
      <c r="Q17" s="6">
        <f t="shared" si="6"/>
        <v>50</v>
      </c>
      <c r="R17" s="6">
        <f t="shared" si="7"/>
        <v>1</v>
      </c>
      <c r="S17" s="6" t="str">
        <f t="shared" si="8"/>
        <v>32</v>
      </c>
      <c r="T17" s="6">
        <f t="shared" si="9"/>
        <v>50</v>
      </c>
      <c r="U17" s="6" t="str">
        <f t="shared" si="10"/>
        <v>0132</v>
      </c>
      <c r="V17" s="6">
        <f t="shared" si="11"/>
        <v>1</v>
      </c>
      <c r="W17" s="6"/>
      <c r="X17" s="6"/>
      <c r="Y17" s="6"/>
      <c r="Z17" s="8"/>
      <c r="AA17" s="8"/>
      <c r="AB17" s="7">
        <v>8</v>
      </c>
      <c r="AC17" s="7">
        <v>4</v>
      </c>
      <c r="AD17" s="7">
        <v>12</v>
      </c>
    </row>
    <row r="18" spans="2:33" ht="15" customHeight="1" x14ac:dyDescent="0.25">
      <c r="B18" s="9">
        <f t="shared" si="0"/>
        <v>17</v>
      </c>
      <c r="C18" s="9">
        <f t="shared" si="1"/>
        <v>1</v>
      </c>
      <c r="D18" s="9" t="str">
        <f t="shared" si="2"/>
        <v>11</v>
      </c>
      <c r="E18" s="9">
        <f t="shared" si="3"/>
        <v>17</v>
      </c>
      <c r="F18" s="9" t="str">
        <f t="shared" si="4"/>
        <v>0111</v>
      </c>
      <c r="G18" s="9">
        <f t="shared" si="5"/>
        <v>1</v>
      </c>
      <c r="H18" s="9"/>
      <c r="I18" s="9"/>
      <c r="J18" s="9"/>
      <c r="K18" s="11"/>
      <c r="L18" s="11"/>
      <c r="M18" s="10">
        <v>9</v>
      </c>
      <c r="N18" s="10">
        <v>3</v>
      </c>
      <c r="O18" s="10">
        <v>11</v>
      </c>
      <c r="P18" s="2"/>
      <c r="Q18" s="6">
        <f t="shared" si="6"/>
        <v>49</v>
      </c>
      <c r="R18" s="6">
        <f t="shared" si="7"/>
        <v>1</v>
      </c>
      <c r="S18" s="6" t="str">
        <f t="shared" si="8"/>
        <v>31</v>
      </c>
      <c r="T18" s="6">
        <f t="shared" si="9"/>
        <v>49</v>
      </c>
      <c r="U18" s="6" t="str">
        <f t="shared" si="10"/>
        <v>0131</v>
      </c>
      <c r="V18" s="6">
        <f t="shared" si="11"/>
        <v>1</v>
      </c>
      <c r="W18" s="6"/>
      <c r="X18" s="6"/>
      <c r="Y18" s="6"/>
      <c r="Z18" s="8"/>
      <c r="AA18" s="8"/>
      <c r="AB18" s="7">
        <v>9</v>
      </c>
      <c r="AC18" s="7">
        <v>3</v>
      </c>
      <c r="AD18" s="7">
        <v>11</v>
      </c>
    </row>
    <row r="19" spans="2:33" ht="15" customHeight="1" x14ac:dyDescent="0.25">
      <c r="B19" s="9">
        <f t="shared" si="0"/>
        <v>16</v>
      </c>
      <c r="C19" s="9">
        <f t="shared" si="1"/>
        <v>1</v>
      </c>
      <c r="D19" s="9" t="str">
        <f t="shared" si="2"/>
        <v>10</v>
      </c>
      <c r="E19" s="9">
        <f t="shared" si="3"/>
        <v>16</v>
      </c>
      <c r="F19" s="9" t="str">
        <f t="shared" si="4"/>
        <v>0110</v>
      </c>
      <c r="G19" s="9">
        <f t="shared" si="5"/>
        <v>1</v>
      </c>
      <c r="H19" s="9"/>
      <c r="I19" s="9"/>
      <c r="J19" s="9"/>
      <c r="K19" s="11"/>
      <c r="L19" s="11"/>
      <c r="M19" s="10">
        <v>8</v>
      </c>
      <c r="N19" s="10">
        <v>2</v>
      </c>
      <c r="O19" s="10">
        <v>10</v>
      </c>
      <c r="P19" s="2"/>
      <c r="Q19" s="6">
        <f t="shared" si="6"/>
        <v>48</v>
      </c>
      <c r="R19" s="6">
        <f t="shared" si="7"/>
        <v>1</v>
      </c>
      <c r="S19" s="6" t="str">
        <f t="shared" si="8"/>
        <v>30</v>
      </c>
      <c r="T19" s="6">
        <f>T20+1</f>
        <v>48</v>
      </c>
      <c r="U19" s="6" t="str">
        <f t="shared" si="10"/>
        <v>0130</v>
      </c>
      <c r="V19" s="6">
        <f t="shared" si="11"/>
        <v>1</v>
      </c>
      <c r="W19" s="6"/>
      <c r="X19" s="6"/>
      <c r="Y19" s="6"/>
      <c r="Z19" s="8"/>
      <c r="AA19" s="8"/>
      <c r="AB19" s="7">
        <v>8</v>
      </c>
      <c r="AC19" s="7">
        <v>2</v>
      </c>
      <c r="AD19" s="7">
        <v>10</v>
      </c>
    </row>
    <row r="20" spans="2:33" ht="15" customHeight="1" x14ac:dyDescent="0.25">
      <c r="B20" s="9">
        <f t="shared" si="0"/>
        <v>15</v>
      </c>
      <c r="C20" s="9">
        <f t="shared" si="1"/>
        <v>1</v>
      </c>
      <c r="D20" s="9" t="str">
        <f t="shared" si="2"/>
        <v>F</v>
      </c>
      <c r="E20" s="9">
        <f t="shared" si="3"/>
        <v>15</v>
      </c>
      <c r="F20" s="9" t="str">
        <f t="shared" si="4"/>
        <v>010F</v>
      </c>
      <c r="G20" s="9">
        <f t="shared" si="5"/>
        <v>1</v>
      </c>
      <c r="H20" s="9"/>
      <c r="I20" s="9"/>
      <c r="J20" s="9"/>
      <c r="K20" s="11"/>
      <c r="L20" s="11"/>
      <c r="M20" s="10">
        <v>9</v>
      </c>
      <c r="N20" s="10">
        <v>5</v>
      </c>
      <c r="O20" s="10">
        <v>10</v>
      </c>
      <c r="P20" s="2"/>
      <c r="Q20" s="6">
        <f t="shared" si="6"/>
        <v>47</v>
      </c>
      <c r="R20" s="6">
        <f t="shared" si="7"/>
        <v>1</v>
      </c>
      <c r="S20" s="6" t="str">
        <f t="shared" si="8"/>
        <v>2F</v>
      </c>
      <c r="T20" s="6">
        <f t="shared" ref="T20:T33" si="12">T21+1</f>
        <v>47</v>
      </c>
      <c r="U20" s="6" t="str">
        <f t="shared" si="10"/>
        <v>012F</v>
      </c>
      <c r="V20" s="6">
        <f t="shared" si="11"/>
        <v>1</v>
      </c>
      <c r="W20" s="6"/>
      <c r="X20" s="6"/>
      <c r="Y20" s="6"/>
      <c r="Z20" s="8"/>
      <c r="AA20" s="8"/>
      <c r="AB20" s="7">
        <v>9</v>
      </c>
      <c r="AC20" s="7">
        <v>5</v>
      </c>
      <c r="AD20" s="7">
        <v>10</v>
      </c>
    </row>
    <row r="21" spans="2:33" ht="15" customHeight="1" x14ac:dyDescent="0.25">
      <c r="B21" s="9">
        <f t="shared" si="0"/>
        <v>14</v>
      </c>
      <c r="C21" s="9">
        <f t="shared" si="1"/>
        <v>1</v>
      </c>
      <c r="D21" s="9" t="str">
        <f t="shared" si="2"/>
        <v>E</v>
      </c>
      <c r="E21" s="9">
        <f t="shared" si="3"/>
        <v>14</v>
      </c>
      <c r="F21" s="9" t="str">
        <f t="shared" si="4"/>
        <v>010E</v>
      </c>
      <c r="G21" s="9">
        <f t="shared" si="5"/>
        <v>1</v>
      </c>
      <c r="H21" s="9"/>
      <c r="I21" s="9"/>
      <c r="J21" s="9"/>
      <c r="K21" s="11"/>
      <c r="L21" s="11"/>
      <c r="M21" s="10">
        <v>8</v>
      </c>
      <c r="N21" s="10">
        <v>4</v>
      </c>
      <c r="O21" s="10">
        <v>14</v>
      </c>
      <c r="P21" s="2"/>
      <c r="Q21" s="6">
        <f t="shared" si="6"/>
        <v>46</v>
      </c>
      <c r="R21" s="6">
        <f t="shared" si="7"/>
        <v>1</v>
      </c>
      <c r="S21" s="6" t="str">
        <f t="shared" si="8"/>
        <v>2E</v>
      </c>
      <c r="T21" s="6">
        <f t="shared" si="12"/>
        <v>46</v>
      </c>
      <c r="U21" s="6" t="str">
        <f t="shared" si="10"/>
        <v>012E</v>
      </c>
      <c r="V21" s="6">
        <f t="shared" si="11"/>
        <v>1</v>
      </c>
      <c r="W21" s="6"/>
      <c r="X21" s="6"/>
      <c r="Y21" s="6"/>
      <c r="Z21" s="8"/>
      <c r="AA21" s="8"/>
      <c r="AB21" s="7">
        <v>8</v>
      </c>
      <c r="AC21" s="7">
        <v>4</v>
      </c>
      <c r="AD21" s="7">
        <v>14</v>
      </c>
    </row>
    <row r="22" spans="2:33" ht="15" customHeight="1" x14ac:dyDescent="0.25">
      <c r="B22" s="9">
        <f t="shared" si="0"/>
        <v>13</v>
      </c>
      <c r="C22" s="9">
        <f t="shared" si="1"/>
        <v>1</v>
      </c>
      <c r="D22" s="9" t="str">
        <f t="shared" si="2"/>
        <v>D</v>
      </c>
      <c r="E22" s="9">
        <f t="shared" si="3"/>
        <v>13</v>
      </c>
      <c r="F22" s="9" t="str">
        <f t="shared" si="4"/>
        <v>010D</v>
      </c>
      <c r="G22" s="9">
        <f t="shared" si="5"/>
        <v>1</v>
      </c>
      <c r="H22" s="9"/>
      <c r="I22" s="9"/>
      <c r="J22" s="9"/>
      <c r="K22" s="11"/>
      <c r="L22" s="11"/>
      <c r="M22" s="10">
        <v>9</v>
      </c>
      <c r="N22" s="10">
        <v>3</v>
      </c>
      <c r="O22" s="10">
        <v>13</v>
      </c>
      <c r="P22" s="2"/>
      <c r="Q22" s="6">
        <f t="shared" si="6"/>
        <v>45</v>
      </c>
      <c r="R22" s="6">
        <f t="shared" si="7"/>
        <v>1</v>
      </c>
      <c r="S22" s="6" t="str">
        <f t="shared" si="8"/>
        <v>2D</v>
      </c>
      <c r="T22" s="6">
        <f t="shared" si="12"/>
        <v>45</v>
      </c>
      <c r="U22" s="6" t="str">
        <f t="shared" si="10"/>
        <v>012D</v>
      </c>
      <c r="V22" s="6">
        <f t="shared" si="11"/>
        <v>1</v>
      </c>
      <c r="W22" s="6"/>
      <c r="X22" s="6"/>
      <c r="Y22" s="6"/>
      <c r="Z22" s="8"/>
      <c r="AA22" s="8"/>
      <c r="AB22" s="7">
        <v>9</v>
      </c>
      <c r="AC22" s="7">
        <v>3</v>
      </c>
      <c r="AD22" s="7">
        <v>13</v>
      </c>
    </row>
    <row r="23" spans="2:33" ht="15" customHeight="1" x14ac:dyDescent="0.25">
      <c r="B23" s="9">
        <f t="shared" si="0"/>
        <v>12</v>
      </c>
      <c r="C23" s="9">
        <f t="shared" si="1"/>
        <v>1</v>
      </c>
      <c r="D23" s="9" t="str">
        <f t="shared" si="2"/>
        <v>C</v>
      </c>
      <c r="E23" s="9">
        <f t="shared" si="3"/>
        <v>12</v>
      </c>
      <c r="F23" s="9" t="str">
        <f t="shared" si="4"/>
        <v>010C</v>
      </c>
      <c r="G23" s="9">
        <f t="shared" si="5"/>
        <v>1</v>
      </c>
      <c r="H23" s="9"/>
      <c r="I23" s="9"/>
      <c r="J23" s="9"/>
      <c r="K23" s="11"/>
      <c r="L23" s="11"/>
      <c r="M23" s="10">
        <v>8</v>
      </c>
      <c r="N23" s="10">
        <v>2</v>
      </c>
      <c r="O23" s="10">
        <v>12</v>
      </c>
      <c r="P23" s="2"/>
      <c r="Q23" s="6">
        <f t="shared" si="6"/>
        <v>44</v>
      </c>
      <c r="R23" s="6">
        <f t="shared" si="7"/>
        <v>1</v>
      </c>
      <c r="S23" s="6" t="str">
        <f t="shared" si="8"/>
        <v>2C</v>
      </c>
      <c r="T23" s="6">
        <f t="shared" si="12"/>
        <v>44</v>
      </c>
      <c r="U23" s="6" t="str">
        <f t="shared" si="10"/>
        <v>012C</v>
      </c>
      <c r="V23" s="6">
        <f t="shared" si="11"/>
        <v>1</v>
      </c>
      <c r="W23" s="6"/>
      <c r="X23" s="6"/>
      <c r="Y23" s="6"/>
      <c r="Z23" s="8"/>
      <c r="AA23" s="8"/>
      <c r="AB23" s="7">
        <v>8</v>
      </c>
      <c r="AC23" s="7">
        <v>2</v>
      </c>
      <c r="AD23" s="7">
        <v>12</v>
      </c>
    </row>
    <row r="24" spans="2:33" ht="15" customHeight="1" x14ac:dyDescent="0.25">
      <c r="B24" s="9">
        <f t="shared" si="0"/>
        <v>11</v>
      </c>
      <c r="C24" s="9">
        <f t="shared" si="1"/>
        <v>1</v>
      </c>
      <c r="D24" s="9" t="str">
        <f t="shared" si="2"/>
        <v>B</v>
      </c>
      <c r="E24" s="9">
        <f t="shared" si="3"/>
        <v>11</v>
      </c>
      <c r="F24" s="9" t="str">
        <f t="shared" si="4"/>
        <v>010B</v>
      </c>
      <c r="G24" s="9">
        <f t="shared" si="5"/>
        <v>1</v>
      </c>
      <c r="H24" s="9"/>
      <c r="I24" s="9"/>
      <c r="J24" s="9"/>
      <c r="K24" s="11"/>
      <c r="L24" s="11"/>
      <c r="M24" s="10">
        <v>9</v>
      </c>
      <c r="N24" s="10">
        <v>5</v>
      </c>
      <c r="O24" s="10">
        <v>11</v>
      </c>
      <c r="P24" s="2"/>
      <c r="Q24" s="6">
        <f t="shared" si="6"/>
        <v>43</v>
      </c>
      <c r="R24" s="6">
        <f t="shared" si="7"/>
        <v>1</v>
      </c>
      <c r="S24" s="6" t="str">
        <f t="shared" si="8"/>
        <v>2B</v>
      </c>
      <c r="T24" s="6">
        <f t="shared" si="12"/>
        <v>43</v>
      </c>
      <c r="U24" s="6" t="str">
        <f t="shared" si="10"/>
        <v>012B</v>
      </c>
      <c r="V24" s="6">
        <f t="shared" si="11"/>
        <v>1</v>
      </c>
      <c r="W24" s="6"/>
      <c r="X24" s="6"/>
      <c r="Y24" s="6"/>
      <c r="Z24" s="8"/>
      <c r="AA24" s="8"/>
      <c r="AB24" s="7">
        <v>9</v>
      </c>
      <c r="AC24" s="7">
        <v>5</v>
      </c>
      <c r="AD24" s="7">
        <v>11</v>
      </c>
      <c r="AG24" s="2"/>
    </row>
    <row r="25" spans="2:33" ht="15" customHeight="1" x14ac:dyDescent="0.25">
      <c r="B25" s="9">
        <f t="shared" si="0"/>
        <v>10</v>
      </c>
      <c r="C25" s="9">
        <f t="shared" si="1"/>
        <v>1</v>
      </c>
      <c r="D25" s="9" t="str">
        <f t="shared" si="2"/>
        <v>A</v>
      </c>
      <c r="E25" s="9">
        <f t="shared" si="3"/>
        <v>10</v>
      </c>
      <c r="F25" s="9" t="str">
        <f t="shared" si="4"/>
        <v>010A</v>
      </c>
      <c r="G25" s="9">
        <f t="shared" si="5"/>
        <v>1</v>
      </c>
      <c r="H25" s="9"/>
      <c r="I25" s="9"/>
      <c r="J25" s="9"/>
      <c r="K25" s="11"/>
      <c r="L25" s="11"/>
      <c r="M25" s="10">
        <v>8</v>
      </c>
      <c r="N25" s="10">
        <v>4</v>
      </c>
      <c r="O25" s="10">
        <v>10</v>
      </c>
      <c r="P25" s="2"/>
      <c r="Q25" s="6">
        <f t="shared" si="6"/>
        <v>42</v>
      </c>
      <c r="R25" s="6">
        <f t="shared" si="7"/>
        <v>1</v>
      </c>
      <c r="S25" s="6" t="str">
        <f t="shared" si="8"/>
        <v>2A</v>
      </c>
      <c r="T25" s="6">
        <f t="shared" si="12"/>
        <v>42</v>
      </c>
      <c r="U25" s="6" t="str">
        <f t="shared" si="10"/>
        <v>012A</v>
      </c>
      <c r="V25" s="6">
        <f t="shared" si="11"/>
        <v>1</v>
      </c>
      <c r="W25" s="6"/>
      <c r="X25" s="6"/>
      <c r="Y25" s="6"/>
      <c r="Z25" s="8"/>
      <c r="AA25" s="8"/>
      <c r="AB25" s="7">
        <v>8</v>
      </c>
      <c r="AC25" s="7">
        <v>4</v>
      </c>
      <c r="AD25" s="7">
        <v>10</v>
      </c>
    </row>
    <row r="26" spans="2:33" ht="15" customHeight="1" x14ac:dyDescent="0.25">
      <c r="B26" s="9">
        <f t="shared" si="0"/>
        <v>9</v>
      </c>
      <c r="C26" s="9">
        <f t="shared" si="1"/>
        <v>1</v>
      </c>
      <c r="D26" s="9" t="str">
        <f t="shared" si="2"/>
        <v>9</v>
      </c>
      <c r="E26" s="9">
        <f t="shared" si="3"/>
        <v>9</v>
      </c>
      <c r="F26" s="9" t="str">
        <f t="shared" si="4"/>
        <v>0109</v>
      </c>
      <c r="G26" s="9">
        <f t="shared" si="5"/>
        <v>1</v>
      </c>
      <c r="H26" s="9"/>
      <c r="I26" s="9"/>
      <c r="J26" s="9"/>
      <c r="K26" s="11"/>
      <c r="L26" s="11"/>
      <c r="M26" s="10">
        <v>9</v>
      </c>
      <c r="N26" s="10">
        <v>3</v>
      </c>
      <c r="O26" s="10">
        <v>14</v>
      </c>
      <c r="P26" s="2"/>
      <c r="Q26" s="6">
        <f t="shared" si="6"/>
        <v>41</v>
      </c>
      <c r="R26" s="6">
        <f t="shared" si="7"/>
        <v>1</v>
      </c>
      <c r="S26" s="6" t="str">
        <f t="shared" si="8"/>
        <v>29</v>
      </c>
      <c r="T26" s="6">
        <f t="shared" si="12"/>
        <v>41</v>
      </c>
      <c r="U26" s="6" t="str">
        <f t="shared" si="10"/>
        <v>0129</v>
      </c>
      <c r="V26" s="6">
        <f t="shared" si="11"/>
        <v>1</v>
      </c>
      <c r="W26" s="6"/>
      <c r="X26" s="6"/>
      <c r="Y26" s="6"/>
      <c r="Z26" s="8"/>
      <c r="AA26" s="8"/>
      <c r="AB26" s="7">
        <v>9</v>
      </c>
      <c r="AC26" s="7">
        <v>3</v>
      </c>
      <c r="AD26" s="7">
        <v>14</v>
      </c>
    </row>
    <row r="27" spans="2:33" ht="15" customHeight="1" x14ac:dyDescent="0.25">
      <c r="B27" s="9">
        <f>B28+1</f>
        <v>8</v>
      </c>
      <c r="C27" s="9">
        <f t="shared" si="1"/>
        <v>1</v>
      </c>
      <c r="D27" s="9" t="str">
        <f t="shared" si="2"/>
        <v>8</v>
      </c>
      <c r="E27" s="9">
        <f>E28+1</f>
        <v>8</v>
      </c>
      <c r="F27" s="9" t="str">
        <f t="shared" si="4"/>
        <v>0108</v>
      </c>
      <c r="G27" s="9">
        <f t="shared" si="5"/>
        <v>1</v>
      </c>
      <c r="H27" s="9"/>
      <c r="I27" s="9"/>
      <c r="J27" s="9"/>
      <c r="K27" s="11"/>
      <c r="L27" s="11"/>
      <c r="M27" s="10">
        <v>8</v>
      </c>
      <c r="N27" s="10">
        <v>2</v>
      </c>
      <c r="O27" s="10">
        <v>13</v>
      </c>
      <c r="P27" s="2"/>
      <c r="Q27" s="6">
        <f t="shared" si="6"/>
        <v>40</v>
      </c>
      <c r="R27" s="6">
        <f t="shared" si="7"/>
        <v>1</v>
      </c>
      <c r="S27" s="6" t="str">
        <f t="shared" si="8"/>
        <v>28</v>
      </c>
      <c r="T27" s="6">
        <f t="shared" si="12"/>
        <v>40</v>
      </c>
      <c r="U27" s="6" t="str">
        <f t="shared" si="10"/>
        <v>0128</v>
      </c>
      <c r="V27" s="6">
        <f t="shared" si="11"/>
        <v>1</v>
      </c>
      <c r="W27" s="6"/>
      <c r="X27" s="6"/>
      <c r="Y27" s="6"/>
      <c r="Z27" s="8"/>
      <c r="AA27" s="8"/>
      <c r="AB27" s="7">
        <v>8</v>
      </c>
      <c r="AC27" s="7">
        <v>2</v>
      </c>
      <c r="AD27" s="7">
        <v>13</v>
      </c>
    </row>
    <row r="28" spans="2:33" ht="15" customHeight="1" x14ac:dyDescent="0.25">
      <c r="B28" s="9">
        <f t="shared" ref="B28:B33" si="13">B29+1</f>
        <v>7</v>
      </c>
      <c r="C28" s="9">
        <f t="shared" si="1"/>
        <v>1</v>
      </c>
      <c r="D28" s="9" t="str">
        <f t="shared" si="2"/>
        <v>7</v>
      </c>
      <c r="E28" s="9">
        <f t="shared" ref="E28:E33" si="14">E29+1</f>
        <v>7</v>
      </c>
      <c r="F28" s="9" t="str">
        <f t="shared" si="4"/>
        <v>0107</v>
      </c>
      <c r="G28" s="9">
        <f t="shared" si="5"/>
        <v>1</v>
      </c>
      <c r="H28" s="9"/>
      <c r="I28" s="9"/>
      <c r="J28" s="9"/>
      <c r="K28" s="11"/>
      <c r="L28" s="11"/>
      <c r="M28" s="10">
        <v>9</v>
      </c>
      <c r="N28" s="10">
        <v>5</v>
      </c>
      <c r="O28" s="10">
        <v>12</v>
      </c>
      <c r="P28" s="2"/>
      <c r="Q28" s="6">
        <f t="shared" si="6"/>
        <v>39</v>
      </c>
      <c r="R28" s="6">
        <f t="shared" si="7"/>
        <v>1</v>
      </c>
      <c r="S28" s="6" t="str">
        <f t="shared" si="8"/>
        <v>27</v>
      </c>
      <c r="T28" s="6">
        <f t="shared" si="12"/>
        <v>39</v>
      </c>
      <c r="U28" s="6" t="str">
        <f t="shared" si="10"/>
        <v>0127</v>
      </c>
      <c r="V28" s="6">
        <f t="shared" si="11"/>
        <v>1</v>
      </c>
      <c r="W28" s="6"/>
      <c r="X28" s="6"/>
      <c r="Y28" s="6"/>
      <c r="Z28" s="8"/>
      <c r="AA28" s="8"/>
      <c r="AB28" s="7">
        <v>9</v>
      </c>
      <c r="AC28" s="7">
        <v>5</v>
      </c>
      <c r="AD28" s="7">
        <v>12</v>
      </c>
    </row>
    <row r="29" spans="2:33" ht="15" customHeight="1" x14ac:dyDescent="0.25">
      <c r="B29" s="9">
        <f t="shared" si="13"/>
        <v>6</v>
      </c>
      <c r="C29" s="9">
        <f t="shared" si="1"/>
        <v>1</v>
      </c>
      <c r="D29" s="9" t="str">
        <f t="shared" si="2"/>
        <v>6</v>
      </c>
      <c r="E29" s="9">
        <f t="shared" si="14"/>
        <v>6</v>
      </c>
      <c r="F29" s="9" t="str">
        <f t="shared" si="4"/>
        <v>0106</v>
      </c>
      <c r="G29" s="9">
        <f t="shared" si="5"/>
        <v>1</v>
      </c>
      <c r="H29" s="9"/>
      <c r="I29" s="9"/>
      <c r="J29" s="9"/>
      <c r="K29" s="11"/>
      <c r="L29" s="11"/>
      <c r="M29" s="10">
        <v>8</v>
      </c>
      <c r="N29" s="10">
        <v>4</v>
      </c>
      <c r="O29" s="10">
        <v>11</v>
      </c>
      <c r="P29" s="2"/>
      <c r="Q29" s="6">
        <f t="shared" si="6"/>
        <v>38</v>
      </c>
      <c r="R29" s="6">
        <f t="shared" si="7"/>
        <v>1</v>
      </c>
      <c r="S29" s="6" t="str">
        <f t="shared" si="8"/>
        <v>26</v>
      </c>
      <c r="T29" s="6">
        <f t="shared" si="12"/>
        <v>38</v>
      </c>
      <c r="U29" s="6" t="str">
        <f t="shared" si="10"/>
        <v>0126</v>
      </c>
      <c r="V29" s="6">
        <f t="shared" si="11"/>
        <v>1</v>
      </c>
      <c r="W29" s="6"/>
      <c r="X29" s="6"/>
      <c r="Y29" s="6"/>
      <c r="Z29" s="8"/>
      <c r="AA29" s="8"/>
      <c r="AB29" s="7">
        <v>8</v>
      </c>
      <c r="AC29" s="7">
        <v>4</v>
      </c>
      <c r="AD29" s="7">
        <v>11</v>
      </c>
    </row>
    <row r="30" spans="2:33" ht="15" customHeight="1" x14ac:dyDescent="0.25">
      <c r="B30" s="9">
        <f t="shared" si="13"/>
        <v>5</v>
      </c>
      <c r="C30" s="9">
        <f t="shared" si="1"/>
        <v>1</v>
      </c>
      <c r="D30" s="9" t="str">
        <f t="shared" si="2"/>
        <v>5</v>
      </c>
      <c r="E30" s="9">
        <f t="shared" si="14"/>
        <v>5</v>
      </c>
      <c r="F30" s="9" t="str">
        <f t="shared" si="4"/>
        <v>0105</v>
      </c>
      <c r="G30" s="9">
        <f t="shared" si="5"/>
        <v>1</v>
      </c>
      <c r="H30" s="9"/>
      <c r="I30" s="9"/>
      <c r="J30" s="9"/>
      <c r="K30" s="11"/>
      <c r="L30" s="11"/>
      <c r="M30" s="10">
        <v>9</v>
      </c>
      <c r="N30" s="10">
        <v>3</v>
      </c>
      <c r="O30" s="10">
        <v>10</v>
      </c>
      <c r="P30" s="2"/>
      <c r="Q30" s="6">
        <f t="shared" si="6"/>
        <v>37</v>
      </c>
      <c r="R30" s="6">
        <f t="shared" si="7"/>
        <v>1</v>
      </c>
      <c r="S30" s="6" t="str">
        <f t="shared" si="8"/>
        <v>25</v>
      </c>
      <c r="T30" s="6">
        <f t="shared" si="12"/>
        <v>37</v>
      </c>
      <c r="U30" s="6" t="str">
        <f t="shared" si="10"/>
        <v>0125</v>
      </c>
      <c r="V30" s="6">
        <f t="shared" si="11"/>
        <v>1</v>
      </c>
      <c r="W30" s="6"/>
      <c r="X30" s="6"/>
      <c r="Y30" s="6"/>
      <c r="Z30" s="8"/>
      <c r="AA30" s="8"/>
      <c r="AB30" s="7">
        <v>9</v>
      </c>
      <c r="AC30" s="7">
        <v>3</v>
      </c>
      <c r="AD30" s="7">
        <v>10</v>
      </c>
    </row>
    <row r="31" spans="2:33" ht="15" customHeight="1" x14ac:dyDescent="0.25">
      <c r="B31" s="9">
        <f t="shared" si="13"/>
        <v>4</v>
      </c>
      <c r="C31" s="9">
        <f t="shared" si="1"/>
        <v>1</v>
      </c>
      <c r="D31" s="9" t="str">
        <f t="shared" si="2"/>
        <v>4</v>
      </c>
      <c r="E31" s="9">
        <f t="shared" si="14"/>
        <v>4</v>
      </c>
      <c r="F31" s="9" t="str">
        <f t="shared" si="4"/>
        <v>0104</v>
      </c>
      <c r="G31" s="9">
        <f t="shared" si="5"/>
        <v>1</v>
      </c>
      <c r="H31" s="9"/>
      <c r="I31" s="9"/>
      <c r="J31" s="9"/>
      <c r="K31" s="11"/>
      <c r="L31" s="11"/>
      <c r="M31" s="10">
        <v>8</v>
      </c>
      <c r="N31" s="10">
        <v>2</v>
      </c>
      <c r="O31" s="10">
        <v>14</v>
      </c>
      <c r="P31" s="2"/>
      <c r="Q31" s="6">
        <f t="shared" si="6"/>
        <v>36</v>
      </c>
      <c r="R31" s="6">
        <f t="shared" si="7"/>
        <v>1</v>
      </c>
      <c r="S31" s="6" t="str">
        <f t="shared" si="8"/>
        <v>24</v>
      </c>
      <c r="T31" s="6">
        <f t="shared" si="12"/>
        <v>36</v>
      </c>
      <c r="U31" s="6" t="str">
        <f t="shared" si="10"/>
        <v>0124</v>
      </c>
      <c r="V31" s="6">
        <f t="shared" si="11"/>
        <v>1</v>
      </c>
      <c r="W31" s="6"/>
      <c r="X31" s="6"/>
      <c r="Y31" s="6"/>
      <c r="Z31" s="8"/>
      <c r="AA31" s="8"/>
      <c r="AB31" s="7">
        <v>8</v>
      </c>
      <c r="AC31" s="7">
        <v>2</v>
      </c>
      <c r="AD31" s="7">
        <v>14</v>
      </c>
    </row>
    <row r="32" spans="2:33" ht="15" customHeight="1" x14ac:dyDescent="0.25">
      <c r="B32" s="9">
        <f t="shared" si="13"/>
        <v>3</v>
      </c>
      <c r="C32" s="9">
        <f t="shared" si="1"/>
        <v>1</v>
      </c>
      <c r="D32" s="9" t="str">
        <f t="shared" si="2"/>
        <v>3</v>
      </c>
      <c r="E32" s="9">
        <f t="shared" si="14"/>
        <v>3</v>
      </c>
      <c r="F32" s="9" t="str">
        <f t="shared" si="4"/>
        <v>0103</v>
      </c>
      <c r="G32" s="9">
        <f t="shared" si="5"/>
        <v>1</v>
      </c>
      <c r="H32" s="9"/>
      <c r="I32" s="9"/>
      <c r="J32" s="9"/>
      <c r="K32" s="11"/>
      <c r="L32" s="11"/>
      <c r="M32" s="10">
        <v>9</v>
      </c>
      <c r="N32" s="10">
        <v>5</v>
      </c>
      <c r="O32" s="10">
        <v>13</v>
      </c>
      <c r="P32" s="2"/>
      <c r="Q32" s="6">
        <f t="shared" si="6"/>
        <v>35</v>
      </c>
      <c r="R32" s="6">
        <f t="shared" si="7"/>
        <v>1</v>
      </c>
      <c r="S32" s="6" t="str">
        <f t="shared" si="8"/>
        <v>23</v>
      </c>
      <c r="T32" s="6">
        <f t="shared" si="12"/>
        <v>35</v>
      </c>
      <c r="U32" s="6" t="str">
        <f t="shared" si="10"/>
        <v>0123</v>
      </c>
      <c r="V32" s="6">
        <f t="shared" si="11"/>
        <v>1</v>
      </c>
      <c r="W32" s="6"/>
      <c r="X32" s="6"/>
      <c r="Y32" s="6"/>
      <c r="Z32" s="8"/>
      <c r="AA32" s="8"/>
      <c r="AB32" s="7">
        <v>9</v>
      </c>
      <c r="AC32" s="7">
        <v>5</v>
      </c>
      <c r="AD32" s="7">
        <v>13</v>
      </c>
    </row>
    <row r="33" spans="2:36" ht="15" customHeight="1" x14ac:dyDescent="0.25">
      <c r="B33" s="9">
        <f t="shared" si="13"/>
        <v>2</v>
      </c>
      <c r="C33" s="9">
        <f t="shared" si="1"/>
        <v>1</v>
      </c>
      <c r="D33" s="9" t="str">
        <f t="shared" si="2"/>
        <v>2</v>
      </c>
      <c r="E33" s="9">
        <f t="shared" si="14"/>
        <v>2</v>
      </c>
      <c r="F33" s="9" t="str">
        <f t="shared" si="4"/>
        <v>0102</v>
      </c>
      <c r="G33" s="9">
        <f t="shared" si="5"/>
        <v>1</v>
      </c>
      <c r="H33" s="9"/>
      <c r="I33" s="9"/>
      <c r="J33" s="9"/>
      <c r="K33" s="11"/>
      <c r="L33" s="11"/>
      <c r="M33" s="10">
        <v>8</v>
      </c>
      <c r="N33" s="10">
        <v>4</v>
      </c>
      <c r="O33" s="10">
        <v>12</v>
      </c>
      <c r="P33" s="2"/>
      <c r="Q33" s="6">
        <f t="shared" si="6"/>
        <v>34</v>
      </c>
      <c r="R33" s="6">
        <f t="shared" si="7"/>
        <v>1</v>
      </c>
      <c r="S33" s="6" t="str">
        <f t="shared" si="8"/>
        <v>22</v>
      </c>
      <c r="T33" s="6">
        <f t="shared" si="12"/>
        <v>34</v>
      </c>
      <c r="U33" s="6" t="str">
        <f t="shared" si="10"/>
        <v>0122</v>
      </c>
      <c r="V33" s="6">
        <f t="shared" si="11"/>
        <v>1</v>
      </c>
      <c r="W33" s="6"/>
      <c r="X33" s="6"/>
      <c r="Y33" s="6"/>
      <c r="Z33" s="8"/>
      <c r="AA33" s="8"/>
      <c r="AB33" s="7">
        <v>8</v>
      </c>
      <c r="AC33" s="7">
        <v>4</v>
      </c>
      <c r="AD33" s="7">
        <v>12</v>
      </c>
    </row>
    <row r="34" spans="2:36" ht="15" customHeight="1" x14ac:dyDescent="0.25">
      <c r="B34" s="9">
        <f>B35+1</f>
        <v>1</v>
      </c>
      <c r="C34" s="9">
        <f>C35</f>
        <v>1</v>
      </c>
      <c r="D34" s="9" t="str">
        <f>DEC2HEX(HEX2DEC(D35)+1)</f>
        <v>1</v>
      </c>
      <c r="E34" s="9">
        <f>E35+1</f>
        <v>1</v>
      </c>
      <c r="F34" s="9" t="str">
        <f t="shared" si="4"/>
        <v>0101</v>
      </c>
      <c r="G34" s="9">
        <f>G35</f>
        <v>1</v>
      </c>
      <c r="H34" s="9"/>
      <c r="I34" s="9"/>
      <c r="J34" s="9"/>
      <c r="K34" s="11"/>
      <c r="L34" s="11"/>
      <c r="M34" s="10">
        <v>9</v>
      </c>
      <c r="N34" s="10">
        <v>3</v>
      </c>
      <c r="O34" s="10">
        <v>11</v>
      </c>
      <c r="P34" s="2"/>
      <c r="Q34" s="6">
        <f>Q35+1</f>
        <v>33</v>
      </c>
      <c r="R34" s="6">
        <f>R35</f>
        <v>1</v>
      </c>
      <c r="S34" s="6" t="str">
        <f>DEC2HEX(HEX2DEC(S35)+1)</f>
        <v>21</v>
      </c>
      <c r="T34" s="6">
        <f>T35+1</f>
        <v>33</v>
      </c>
      <c r="U34" s="6" t="str">
        <f t="shared" si="10"/>
        <v>0121</v>
      </c>
      <c r="V34" s="6">
        <f>V35</f>
        <v>1</v>
      </c>
      <c r="W34" s="6"/>
      <c r="X34" s="6"/>
      <c r="Y34" s="6"/>
      <c r="Z34" s="8"/>
      <c r="AA34" s="8"/>
      <c r="AB34" s="7">
        <v>9</v>
      </c>
      <c r="AC34" s="7">
        <v>3</v>
      </c>
      <c r="AD34" s="7">
        <v>11</v>
      </c>
    </row>
    <row r="35" spans="2:36" ht="15" customHeight="1" x14ac:dyDescent="0.25">
      <c r="B35" s="9">
        <v>0</v>
      </c>
      <c r="C35" s="9">
        <v>1</v>
      </c>
      <c r="D35" s="9">
        <v>0</v>
      </c>
      <c r="E35" s="9">
        <v>0</v>
      </c>
      <c r="F35" s="9" t="str">
        <f>IF(HEX2DEC(D35)&gt;15,IF(HEX2DEC(C35) &gt; 15,CONCATENATE(C35,D35),CONCATENATE("0",C35,D35)),IF(HEX2DEC(C35) &gt; 15,CONCATENATE(C35,"0",D35),CONCATENATE("0",C35,"0",D35)))</f>
        <v>0100</v>
      </c>
      <c r="G35" s="9">
        <v>1</v>
      </c>
      <c r="H35" s="9"/>
      <c r="I35" s="9"/>
      <c r="J35" s="9"/>
      <c r="K35" s="11"/>
      <c r="L35" s="11"/>
      <c r="M35" s="10">
        <v>8</v>
      </c>
      <c r="N35" s="10">
        <v>2</v>
      </c>
      <c r="O35" s="10">
        <v>10</v>
      </c>
      <c r="P35" s="2"/>
      <c r="Q35" s="6">
        <f>B4+1</f>
        <v>32</v>
      </c>
      <c r="R35" s="6">
        <f>C4</f>
        <v>1</v>
      </c>
      <c r="S35" s="6" t="str">
        <f>DEC2HEX(HEX2DEC(D4)+1)</f>
        <v>20</v>
      </c>
      <c r="T35" s="6">
        <f>E4+1</f>
        <v>32</v>
      </c>
      <c r="U35" s="6" t="str">
        <f>IF(HEX2DEC(S35)&gt;15,IF(HEX2DEC(R35) &gt; 15,CONCATENATE(R35,S35),CONCATENATE("0",R35,S35)),IF(HEX2DEC(R35) &gt; 15,CONCATENATE(R35,"0",S35),CONCATENATE("0",R35,"0",S35)))</f>
        <v>0120</v>
      </c>
      <c r="V35" s="6">
        <f>G4</f>
        <v>1</v>
      </c>
      <c r="W35" s="6"/>
      <c r="X35" s="6"/>
      <c r="Y35" s="6"/>
      <c r="Z35" s="8"/>
      <c r="AA35" s="8"/>
      <c r="AB35" s="7">
        <v>8</v>
      </c>
      <c r="AC35" s="7">
        <v>2</v>
      </c>
      <c r="AD35" s="7">
        <v>10</v>
      </c>
    </row>
    <row r="37" spans="2:36" ht="11.1" customHeight="1" x14ac:dyDescent="0.25">
      <c r="B37" s="9"/>
      <c r="C37" s="4"/>
      <c r="D37" s="4"/>
      <c r="E37" s="4"/>
      <c r="F37" s="33" t="s">
        <v>2</v>
      </c>
      <c r="G37" s="34"/>
      <c r="H37" s="22"/>
      <c r="I37" s="22"/>
      <c r="J37" s="22"/>
      <c r="K37" s="4"/>
      <c r="L37" s="4"/>
      <c r="M37" s="14"/>
      <c r="N37" s="14"/>
      <c r="O37" s="14"/>
      <c r="Q37" s="4"/>
      <c r="R37" s="4"/>
      <c r="S37" s="4"/>
      <c r="T37" s="4"/>
      <c r="U37" s="14"/>
      <c r="V37" s="14"/>
      <c r="W37" s="14"/>
      <c r="X37" s="14"/>
      <c r="Y37" s="14"/>
      <c r="Z37" s="4"/>
      <c r="AA37" s="4"/>
      <c r="AB37" s="4"/>
      <c r="AC37" s="14"/>
      <c r="AD37" s="14"/>
      <c r="AE37" s="4"/>
      <c r="AF37" s="4"/>
      <c r="AG37" s="4"/>
      <c r="AH37" s="4"/>
      <c r="AI37" s="4"/>
      <c r="AJ37" s="4"/>
    </row>
    <row r="38" spans="2:36" ht="11.1" customHeight="1" x14ac:dyDescent="0.25">
      <c r="C38" s="4"/>
      <c r="D38" s="4"/>
      <c r="E38" s="4"/>
      <c r="F38" s="15"/>
      <c r="G38" s="14"/>
      <c r="H38" s="14"/>
      <c r="I38" s="14"/>
      <c r="J38" s="14"/>
      <c r="K38" s="4"/>
      <c r="L38" s="4"/>
      <c r="M38" s="14"/>
      <c r="N38" s="14"/>
      <c r="O38" s="14"/>
      <c r="Q38" s="4"/>
      <c r="R38" s="4"/>
      <c r="S38" s="4"/>
      <c r="T38" s="4"/>
      <c r="U38" s="14"/>
      <c r="V38" s="14"/>
      <c r="W38" s="14"/>
      <c r="X38" s="14"/>
      <c r="Y38" s="14"/>
      <c r="Z38" s="4"/>
      <c r="AA38" s="4"/>
      <c r="AB38" s="4"/>
      <c r="AC38" s="14"/>
      <c r="AD38" s="14"/>
      <c r="AE38" s="4"/>
      <c r="AF38" s="4"/>
      <c r="AG38" s="4"/>
      <c r="AH38" s="4"/>
      <c r="AI38" s="4"/>
      <c r="AJ38" s="4"/>
    </row>
    <row r="39" spans="2:36" ht="11.1" customHeight="1" x14ac:dyDescent="0.25">
      <c r="B39" s="17"/>
      <c r="C39" s="4"/>
      <c r="D39" s="4"/>
      <c r="E39" s="4"/>
      <c r="F39" s="33" t="s">
        <v>3</v>
      </c>
      <c r="G39" s="34"/>
      <c r="H39" s="22"/>
      <c r="I39" s="22"/>
      <c r="J39" s="22"/>
      <c r="K39" s="4"/>
      <c r="L39" s="4"/>
      <c r="M39" s="14"/>
      <c r="N39" s="14"/>
      <c r="O39" s="14"/>
      <c r="Q39" s="4"/>
      <c r="R39" s="4"/>
      <c r="S39" s="4"/>
      <c r="T39" s="4"/>
      <c r="U39" s="14"/>
      <c r="V39" s="14"/>
      <c r="W39" s="14"/>
      <c r="X39" s="14"/>
      <c r="Y39" s="14"/>
      <c r="Z39" s="4"/>
      <c r="AA39" s="4"/>
      <c r="AB39" s="4"/>
      <c r="AC39" s="14"/>
      <c r="AD39" s="14"/>
      <c r="AE39" s="4"/>
      <c r="AF39" s="4"/>
      <c r="AG39" s="4"/>
      <c r="AH39" s="4"/>
      <c r="AI39" s="4"/>
      <c r="AJ39" s="4"/>
    </row>
    <row r="40" spans="2:36" ht="11.1" customHeight="1" x14ac:dyDescent="0.25">
      <c r="F40" s="15"/>
      <c r="G40" s="14"/>
      <c r="H40" s="14"/>
      <c r="I40" s="14"/>
      <c r="J40" s="14"/>
      <c r="K40" s="4"/>
      <c r="L40" s="4"/>
      <c r="M40" s="14"/>
      <c r="N40" s="14"/>
      <c r="O40" s="14"/>
      <c r="Q40" s="4"/>
      <c r="R40" s="4"/>
      <c r="S40" s="4"/>
      <c r="T40" s="4"/>
      <c r="U40" s="14"/>
      <c r="V40" s="14"/>
      <c r="W40" s="14"/>
      <c r="X40" s="14"/>
      <c r="Y40" s="14"/>
      <c r="Z40" s="4"/>
      <c r="AA40" s="4"/>
      <c r="AB40" s="4"/>
      <c r="AC40" s="14"/>
      <c r="AD40" s="14"/>
      <c r="AE40" s="4"/>
      <c r="AF40" s="4"/>
      <c r="AG40" s="4"/>
      <c r="AH40" s="4"/>
      <c r="AI40" s="4"/>
      <c r="AJ40" s="4"/>
    </row>
    <row r="41" spans="2:36" x14ac:dyDescent="0.25">
      <c r="Q41" s="4"/>
      <c r="R41" s="4"/>
      <c r="S41" s="4"/>
      <c r="T41" s="4"/>
      <c r="U41" s="14"/>
      <c r="V41" s="14"/>
      <c r="W41" s="14"/>
      <c r="X41" s="14"/>
      <c r="Y41" s="14"/>
      <c r="Z41" s="4"/>
      <c r="AB41" s="4"/>
      <c r="AE41" s="4"/>
      <c r="AF41" s="4"/>
      <c r="AG41" s="4"/>
      <c r="AH41" s="4"/>
      <c r="AI41" s="4"/>
      <c r="AJ41" s="4"/>
    </row>
  </sheetData>
  <mergeCells count="3">
    <mergeCell ref="B1:AD1"/>
    <mergeCell ref="F37:G37"/>
    <mergeCell ref="F39:G39"/>
  </mergeCells>
  <dataValidations count="1">
    <dataValidation type="list" allowBlank="1" showInputMessage="1" showErrorMessage="1" error="Valid options are: Clear (empty cell), &quot;Enable&quot;, &quot;Disable&quot;, or Persistent Disable." sqref="H4:H35 J4:J35 W4:W35 Y4:Y35" xr:uid="{0ABD230B-8BC1-4A80-B9AE-695EC43E85CB}">
      <formula1>"Enable,Disable,Persistent Disable"</formula1>
    </dataValidation>
  </dataValidations>
  <pageMargins left="0.7" right="0.7" top="0.75" bottom="0.75" header="0.3" footer="0.3"/>
  <pageSetup orientation="landscape" horizontalDpi="4294967294"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A4CA5-D24A-4612-8D57-BD2C7E3B13CB}">
  <sheetPr>
    <tabColor theme="6" tint="-0.249977111117893"/>
  </sheetPr>
  <dimension ref="B1:U43"/>
  <sheetViews>
    <sheetView workbookViewId="0">
      <selection activeCell="R6" sqref="R6"/>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s>
  <sheetData>
    <row r="1" spans="2:15" x14ac:dyDescent="0.25">
      <c r="B1" s="35" t="s">
        <v>1</v>
      </c>
      <c r="C1" s="36"/>
      <c r="D1" s="36"/>
      <c r="E1" s="36"/>
      <c r="F1" s="37"/>
      <c r="G1" s="37"/>
      <c r="H1" s="37"/>
      <c r="I1" s="37"/>
      <c r="J1" s="37"/>
      <c r="K1" s="37"/>
      <c r="L1" s="37"/>
      <c r="M1" s="37"/>
      <c r="N1" s="37"/>
      <c r="O1" s="37"/>
    </row>
    <row r="2" spans="2:15" s="12" customFormat="1" ht="60" x14ac:dyDescent="0.25">
      <c r="B2" s="13" t="s">
        <v>0</v>
      </c>
      <c r="C2" s="13" t="s">
        <v>7</v>
      </c>
      <c r="D2" s="13" t="s">
        <v>8</v>
      </c>
      <c r="E2" s="13" t="s">
        <v>296</v>
      </c>
      <c r="F2" s="13" t="s">
        <v>6</v>
      </c>
      <c r="G2" s="13" t="s">
        <v>5</v>
      </c>
      <c r="H2" s="13" t="s">
        <v>413</v>
      </c>
      <c r="I2" s="13" t="s">
        <v>317</v>
      </c>
      <c r="J2" s="13" t="s">
        <v>416</v>
      </c>
      <c r="K2" s="13" t="s">
        <v>4</v>
      </c>
      <c r="L2" s="13" t="s">
        <v>277</v>
      </c>
      <c r="M2" s="13" t="s">
        <v>9</v>
      </c>
      <c r="N2" s="13" t="s">
        <v>10</v>
      </c>
      <c r="O2" s="13" t="s">
        <v>11</v>
      </c>
    </row>
    <row r="3" spans="2:15" ht="6" customHeight="1" x14ac:dyDescent="0.25"/>
    <row r="4" spans="2:15" ht="15" customHeight="1" x14ac:dyDescent="0.25">
      <c r="B4" s="9" t="s">
        <v>307</v>
      </c>
      <c r="C4" s="9">
        <f t="shared" ref="C4:C35" si="0">C5</f>
        <v>1</v>
      </c>
      <c r="D4" s="9"/>
      <c r="E4" s="9">
        <f t="shared" ref="E4:E28" si="1">E5+1</f>
        <v>33</v>
      </c>
      <c r="F4" s="9"/>
      <c r="G4" s="9">
        <f t="shared" ref="G4:G35" si="2">G5</f>
        <v>128</v>
      </c>
      <c r="H4" s="9"/>
      <c r="I4" s="9"/>
      <c r="J4" s="9"/>
      <c r="K4" s="11"/>
      <c r="L4" s="11"/>
      <c r="M4" s="10"/>
      <c r="N4" s="10"/>
      <c r="O4" s="10"/>
    </row>
    <row r="5" spans="2:15" ht="15" customHeight="1" x14ac:dyDescent="0.25">
      <c r="B5" s="9" t="s">
        <v>308</v>
      </c>
      <c r="C5" s="9">
        <f t="shared" si="0"/>
        <v>1</v>
      </c>
      <c r="D5" s="9"/>
      <c r="E5" s="9">
        <f t="shared" si="1"/>
        <v>32</v>
      </c>
      <c r="F5" s="9"/>
      <c r="G5" s="9">
        <f t="shared" si="2"/>
        <v>128</v>
      </c>
      <c r="H5" s="9"/>
      <c r="I5" s="9"/>
      <c r="J5" s="9"/>
      <c r="K5" s="11"/>
      <c r="L5" s="11"/>
      <c r="M5" s="10"/>
      <c r="N5" s="10"/>
      <c r="O5" s="10"/>
    </row>
    <row r="6" spans="2:15" ht="15" customHeight="1" x14ac:dyDescent="0.25">
      <c r="B6" s="9" t="s">
        <v>309</v>
      </c>
      <c r="C6" s="9">
        <f t="shared" si="0"/>
        <v>1</v>
      </c>
      <c r="D6" s="9"/>
      <c r="E6" s="9">
        <f t="shared" si="1"/>
        <v>31</v>
      </c>
      <c r="F6" s="9"/>
      <c r="G6" s="9">
        <f t="shared" si="2"/>
        <v>128</v>
      </c>
      <c r="H6" s="9"/>
      <c r="I6" s="9"/>
      <c r="J6" s="9"/>
      <c r="K6" s="11"/>
      <c r="L6" s="11"/>
      <c r="M6" s="10"/>
      <c r="N6" s="10"/>
      <c r="O6" s="10"/>
    </row>
    <row r="7" spans="2:15" ht="15" customHeight="1" x14ac:dyDescent="0.25">
      <c r="B7" s="9" t="s">
        <v>310</v>
      </c>
      <c r="C7" s="9">
        <f t="shared" si="0"/>
        <v>1</v>
      </c>
      <c r="D7" s="9"/>
      <c r="E7" s="9">
        <f t="shared" si="1"/>
        <v>30</v>
      </c>
      <c r="F7" s="9"/>
      <c r="G7" s="9">
        <f t="shared" si="2"/>
        <v>128</v>
      </c>
      <c r="H7" s="9"/>
      <c r="I7" s="9"/>
      <c r="J7" s="9"/>
      <c r="K7" s="11"/>
      <c r="L7" s="11"/>
      <c r="M7" s="10"/>
      <c r="N7" s="10"/>
      <c r="O7" s="10"/>
    </row>
    <row r="8" spans="2:15" ht="15" customHeight="1" x14ac:dyDescent="0.25">
      <c r="B8" s="9" t="s">
        <v>311</v>
      </c>
      <c r="C8" s="9">
        <f t="shared" si="0"/>
        <v>1</v>
      </c>
      <c r="D8" s="9"/>
      <c r="E8" s="9">
        <f t="shared" si="1"/>
        <v>29</v>
      </c>
      <c r="F8" s="9"/>
      <c r="G8" s="9">
        <f t="shared" si="2"/>
        <v>128</v>
      </c>
      <c r="H8" s="9"/>
      <c r="I8" s="9"/>
      <c r="J8" s="9"/>
      <c r="K8" s="11"/>
      <c r="L8" s="11"/>
      <c r="M8" s="10"/>
      <c r="N8" s="10"/>
      <c r="O8" s="10"/>
    </row>
    <row r="9" spans="2:15" ht="15" customHeight="1" x14ac:dyDescent="0.25">
      <c r="B9" s="9" t="s">
        <v>312</v>
      </c>
      <c r="C9" s="9">
        <f t="shared" si="0"/>
        <v>1</v>
      </c>
      <c r="D9" s="9"/>
      <c r="E9" s="9">
        <f t="shared" si="1"/>
        <v>28</v>
      </c>
      <c r="F9" s="9"/>
      <c r="G9" s="9">
        <f t="shared" si="2"/>
        <v>128</v>
      </c>
      <c r="H9" s="9"/>
      <c r="I9" s="9"/>
      <c r="J9" s="9"/>
      <c r="K9" s="11"/>
      <c r="L9" s="11"/>
      <c r="M9" s="10"/>
      <c r="N9" s="10"/>
      <c r="O9" s="10"/>
    </row>
    <row r="10" spans="2:15" ht="15" customHeight="1" x14ac:dyDescent="0.25">
      <c r="B10" s="9" t="s">
        <v>313</v>
      </c>
      <c r="C10" s="9">
        <f t="shared" si="0"/>
        <v>1</v>
      </c>
      <c r="D10" s="9"/>
      <c r="E10" s="9">
        <f t="shared" si="1"/>
        <v>27</v>
      </c>
      <c r="F10" s="9"/>
      <c r="G10" s="9">
        <f t="shared" si="2"/>
        <v>128</v>
      </c>
      <c r="H10" s="9"/>
      <c r="I10" s="9"/>
      <c r="J10" s="9"/>
      <c r="K10" s="11"/>
      <c r="L10" s="11"/>
      <c r="M10" s="10"/>
      <c r="N10" s="10"/>
      <c r="O10" s="10"/>
    </row>
    <row r="11" spans="2:15" ht="15" customHeight="1" x14ac:dyDescent="0.25">
      <c r="B11" s="9" t="s">
        <v>314</v>
      </c>
      <c r="C11" s="9">
        <f t="shared" si="0"/>
        <v>1</v>
      </c>
      <c r="D11" s="9"/>
      <c r="E11" s="9">
        <f t="shared" si="1"/>
        <v>26</v>
      </c>
      <c r="F11" s="9"/>
      <c r="G11" s="9">
        <f t="shared" si="2"/>
        <v>128</v>
      </c>
      <c r="H11" s="9"/>
      <c r="I11" s="9"/>
      <c r="J11" s="9"/>
      <c r="K11" s="11"/>
      <c r="L11" s="11"/>
      <c r="M11" s="10"/>
      <c r="N11" s="10"/>
      <c r="O11" s="10"/>
    </row>
    <row r="12" spans="2:15" ht="15" customHeight="1" x14ac:dyDescent="0.25">
      <c r="B12" s="9" t="s">
        <v>315</v>
      </c>
      <c r="C12" s="9">
        <f t="shared" si="0"/>
        <v>1</v>
      </c>
      <c r="D12" s="9"/>
      <c r="E12" s="9">
        <f t="shared" si="1"/>
        <v>25</v>
      </c>
      <c r="F12" s="9"/>
      <c r="G12" s="9">
        <f t="shared" si="2"/>
        <v>128</v>
      </c>
      <c r="H12" s="9"/>
      <c r="I12" s="9"/>
      <c r="J12" s="9"/>
      <c r="K12" s="11"/>
      <c r="L12" s="11"/>
      <c r="M12" s="10"/>
      <c r="N12" s="10"/>
      <c r="O12" s="10"/>
    </row>
    <row r="13" spans="2:15" ht="15" customHeight="1" x14ac:dyDescent="0.25">
      <c r="B13" s="9" t="s">
        <v>316</v>
      </c>
      <c r="C13" s="9">
        <f t="shared" si="0"/>
        <v>1</v>
      </c>
      <c r="D13" s="9"/>
      <c r="E13" s="9">
        <f t="shared" si="1"/>
        <v>24</v>
      </c>
      <c r="F13" s="9"/>
      <c r="G13" s="9">
        <f t="shared" si="2"/>
        <v>128</v>
      </c>
      <c r="H13" s="9"/>
      <c r="I13" s="9"/>
      <c r="J13" s="9"/>
      <c r="K13" s="11"/>
      <c r="L13" s="11"/>
      <c r="M13" s="10"/>
      <c r="N13" s="10"/>
      <c r="O13" s="10"/>
    </row>
    <row r="14" spans="2:15" ht="15" customHeight="1" x14ac:dyDescent="0.25">
      <c r="B14" s="9">
        <f t="shared" ref="B14:B28" si="3">B15+1</f>
        <v>23</v>
      </c>
      <c r="C14" s="9">
        <f t="shared" si="0"/>
        <v>1</v>
      </c>
      <c r="D14" s="9" t="str">
        <f t="shared" ref="D14:D35" si="4">DEC2HEX(HEX2DEC(D15)+1)</f>
        <v>17</v>
      </c>
      <c r="E14" s="9">
        <f t="shared" si="1"/>
        <v>23</v>
      </c>
      <c r="F14" s="9" t="str">
        <f t="shared" ref="F14:F36" si="5">IF(HEX2DEC(D14)&gt;15,IF(HEX2DEC(C14) &gt; 15,CONCATENATE(C14,D14),CONCATENATE("0",C14,D14)),IF(HEX2DEC(C14) &gt; 15,CONCATENATE(C14,"0",D14),CONCATENATE("0",C14,"0",D14)))</f>
        <v>0117</v>
      </c>
      <c r="G14" s="9">
        <f t="shared" si="2"/>
        <v>128</v>
      </c>
      <c r="H14" s="9"/>
      <c r="I14" s="9"/>
      <c r="J14" s="9"/>
      <c r="K14" s="11"/>
      <c r="L14" s="11"/>
      <c r="M14" s="10">
        <v>9</v>
      </c>
      <c r="N14" s="10">
        <v>5</v>
      </c>
      <c r="O14" s="10">
        <v>12</v>
      </c>
    </row>
    <row r="15" spans="2:15" ht="15" customHeight="1" x14ac:dyDescent="0.25">
      <c r="B15" s="9">
        <f t="shared" si="3"/>
        <v>22</v>
      </c>
      <c r="C15" s="9">
        <f t="shared" si="0"/>
        <v>1</v>
      </c>
      <c r="D15" s="9" t="str">
        <f t="shared" si="4"/>
        <v>16</v>
      </c>
      <c r="E15" s="9">
        <f t="shared" si="1"/>
        <v>22</v>
      </c>
      <c r="F15" s="9" t="str">
        <f t="shared" si="5"/>
        <v>0116</v>
      </c>
      <c r="G15" s="9">
        <f t="shared" si="2"/>
        <v>128</v>
      </c>
      <c r="H15" s="9"/>
      <c r="I15" s="9"/>
      <c r="J15" s="9"/>
      <c r="K15" s="11"/>
      <c r="L15" s="11"/>
      <c r="M15" s="10">
        <v>8</v>
      </c>
      <c r="N15" s="10">
        <v>4</v>
      </c>
      <c r="O15" s="10">
        <v>11</v>
      </c>
    </row>
    <row r="16" spans="2:15" ht="15" customHeight="1" x14ac:dyDescent="0.25">
      <c r="B16" s="9">
        <f t="shared" si="3"/>
        <v>21</v>
      </c>
      <c r="C16" s="9">
        <f t="shared" si="0"/>
        <v>1</v>
      </c>
      <c r="D16" s="9" t="str">
        <f t="shared" si="4"/>
        <v>15</v>
      </c>
      <c r="E16" s="9">
        <f t="shared" si="1"/>
        <v>21</v>
      </c>
      <c r="F16" s="9" t="str">
        <f t="shared" si="5"/>
        <v>0115</v>
      </c>
      <c r="G16" s="9">
        <f t="shared" si="2"/>
        <v>128</v>
      </c>
      <c r="H16" s="9"/>
      <c r="I16" s="9"/>
      <c r="J16" s="9"/>
      <c r="K16" s="11"/>
      <c r="L16" s="11"/>
      <c r="M16" s="10">
        <v>9</v>
      </c>
      <c r="N16" s="10">
        <v>3</v>
      </c>
      <c r="O16" s="10">
        <v>10</v>
      </c>
    </row>
    <row r="17" spans="2:18" ht="15" customHeight="1" x14ac:dyDescent="0.25">
      <c r="B17" s="9">
        <f t="shared" si="3"/>
        <v>20</v>
      </c>
      <c r="C17" s="9">
        <f t="shared" si="0"/>
        <v>1</v>
      </c>
      <c r="D17" s="9" t="str">
        <f t="shared" si="4"/>
        <v>14</v>
      </c>
      <c r="E17" s="9">
        <f t="shared" si="1"/>
        <v>20</v>
      </c>
      <c r="F17" s="9" t="str">
        <f t="shared" si="5"/>
        <v>0114</v>
      </c>
      <c r="G17" s="9">
        <f t="shared" si="2"/>
        <v>128</v>
      </c>
      <c r="H17" s="9"/>
      <c r="I17" s="9"/>
      <c r="J17" s="9"/>
      <c r="K17" s="11"/>
      <c r="L17" s="11"/>
      <c r="M17" s="10">
        <v>8</v>
      </c>
      <c r="N17" s="10">
        <v>2</v>
      </c>
      <c r="O17" s="10">
        <v>14</v>
      </c>
    </row>
    <row r="18" spans="2:18" ht="15" customHeight="1" x14ac:dyDescent="0.25">
      <c r="B18" s="9">
        <f t="shared" si="3"/>
        <v>19</v>
      </c>
      <c r="C18" s="9">
        <f t="shared" si="0"/>
        <v>1</v>
      </c>
      <c r="D18" s="9" t="str">
        <f t="shared" si="4"/>
        <v>13</v>
      </c>
      <c r="E18" s="9">
        <f t="shared" si="1"/>
        <v>19</v>
      </c>
      <c r="F18" s="9" t="str">
        <f t="shared" si="5"/>
        <v>0113</v>
      </c>
      <c r="G18" s="9">
        <f t="shared" si="2"/>
        <v>128</v>
      </c>
      <c r="H18" s="9"/>
      <c r="I18" s="9"/>
      <c r="J18" s="9"/>
      <c r="K18" s="11"/>
      <c r="L18" s="11"/>
      <c r="M18" s="10">
        <v>9</v>
      </c>
      <c r="N18" s="10">
        <v>5</v>
      </c>
      <c r="O18" s="10">
        <v>13</v>
      </c>
    </row>
    <row r="19" spans="2:18" ht="15" customHeight="1" x14ac:dyDescent="0.25">
      <c r="B19" s="9">
        <f t="shared" si="3"/>
        <v>18</v>
      </c>
      <c r="C19" s="9">
        <f t="shared" si="0"/>
        <v>1</v>
      </c>
      <c r="D19" s="9" t="str">
        <f t="shared" si="4"/>
        <v>12</v>
      </c>
      <c r="E19" s="9">
        <f t="shared" si="1"/>
        <v>18</v>
      </c>
      <c r="F19" s="9" t="str">
        <f t="shared" si="5"/>
        <v>0112</v>
      </c>
      <c r="G19" s="9">
        <f t="shared" si="2"/>
        <v>128</v>
      </c>
      <c r="H19" s="9"/>
      <c r="I19" s="9"/>
      <c r="J19" s="9"/>
      <c r="K19" s="11"/>
      <c r="L19" s="11"/>
      <c r="M19" s="10">
        <v>8</v>
      </c>
      <c r="N19" s="10">
        <v>4</v>
      </c>
      <c r="O19" s="10">
        <v>12</v>
      </c>
    </row>
    <row r="20" spans="2:18" ht="15" customHeight="1" x14ac:dyDescent="0.25">
      <c r="B20" s="9">
        <f t="shared" si="3"/>
        <v>17</v>
      </c>
      <c r="C20" s="9">
        <f t="shared" si="0"/>
        <v>1</v>
      </c>
      <c r="D20" s="9" t="str">
        <f t="shared" si="4"/>
        <v>11</v>
      </c>
      <c r="E20" s="9">
        <f t="shared" si="1"/>
        <v>17</v>
      </c>
      <c r="F20" s="9" t="str">
        <f t="shared" si="5"/>
        <v>0111</v>
      </c>
      <c r="G20" s="9">
        <f t="shared" si="2"/>
        <v>128</v>
      </c>
      <c r="H20" s="9"/>
      <c r="I20" s="9"/>
      <c r="J20" s="9"/>
      <c r="K20" s="11"/>
      <c r="L20" s="11"/>
      <c r="M20" s="10">
        <v>9</v>
      </c>
      <c r="N20" s="10">
        <v>3</v>
      </c>
      <c r="O20" s="10">
        <v>11</v>
      </c>
    </row>
    <row r="21" spans="2:18" ht="15" customHeight="1" x14ac:dyDescent="0.25">
      <c r="B21" s="9">
        <f t="shared" si="3"/>
        <v>16</v>
      </c>
      <c r="C21" s="9">
        <f t="shared" si="0"/>
        <v>1</v>
      </c>
      <c r="D21" s="9" t="str">
        <f t="shared" si="4"/>
        <v>10</v>
      </c>
      <c r="E21" s="9">
        <f t="shared" si="1"/>
        <v>16</v>
      </c>
      <c r="F21" s="9" t="str">
        <f t="shared" si="5"/>
        <v>0110</v>
      </c>
      <c r="G21" s="9">
        <f t="shared" si="2"/>
        <v>128</v>
      </c>
      <c r="H21" s="9"/>
      <c r="I21" s="9"/>
      <c r="J21" s="9"/>
      <c r="K21" s="11"/>
      <c r="L21" s="11"/>
      <c r="M21" s="10">
        <v>8</v>
      </c>
      <c r="N21" s="10">
        <v>2</v>
      </c>
      <c r="O21" s="10">
        <v>10</v>
      </c>
    </row>
    <row r="22" spans="2:18" ht="15" customHeight="1" x14ac:dyDescent="0.25">
      <c r="B22" s="9">
        <f t="shared" si="3"/>
        <v>15</v>
      </c>
      <c r="C22" s="9">
        <f t="shared" si="0"/>
        <v>1</v>
      </c>
      <c r="D22" s="9" t="str">
        <f t="shared" si="4"/>
        <v>F</v>
      </c>
      <c r="E22" s="9">
        <f t="shared" si="1"/>
        <v>15</v>
      </c>
      <c r="F22" s="9" t="str">
        <f t="shared" si="5"/>
        <v>010F</v>
      </c>
      <c r="G22" s="9">
        <f t="shared" si="2"/>
        <v>128</v>
      </c>
      <c r="H22" s="9"/>
      <c r="I22" s="9"/>
      <c r="J22" s="9"/>
      <c r="K22" s="11"/>
      <c r="L22" s="11"/>
      <c r="M22" s="10">
        <v>9</v>
      </c>
      <c r="N22" s="10">
        <v>5</v>
      </c>
      <c r="O22" s="10">
        <v>10</v>
      </c>
    </row>
    <row r="23" spans="2:18" ht="15" customHeight="1" x14ac:dyDescent="0.25">
      <c r="B23" s="9">
        <f t="shared" si="3"/>
        <v>14</v>
      </c>
      <c r="C23" s="9">
        <f t="shared" si="0"/>
        <v>1</v>
      </c>
      <c r="D23" s="9" t="str">
        <f t="shared" si="4"/>
        <v>E</v>
      </c>
      <c r="E23" s="9">
        <f t="shared" si="1"/>
        <v>14</v>
      </c>
      <c r="F23" s="9" t="str">
        <f t="shared" si="5"/>
        <v>010E</v>
      </c>
      <c r="G23" s="9">
        <f t="shared" si="2"/>
        <v>128</v>
      </c>
      <c r="H23" s="9"/>
      <c r="I23" s="9"/>
      <c r="J23" s="9"/>
      <c r="K23" s="11"/>
      <c r="L23" s="11"/>
      <c r="M23" s="10">
        <v>8</v>
      </c>
      <c r="N23" s="10">
        <v>4</v>
      </c>
      <c r="O23" s="10">
        <v>14</v>
      </c>
    </row>
    <row r="24" spans="2:18" ht="15" customHeight="1" x14ac:dyDescent="0.25">
      <c r="B24" s="9">
        <f t="shared" si="3"/>
        <v>13</v>
      </c>
      <c r="C24" s="9">
        <f t="shared" si="0"/>
        <v>1</v>
      </c>
      <c r="D24" s="9" t="str">
        <f t="shared" si="4"/>
        <v>D</v>
      </c>
      <c r="E24" s="9">
        <f t="shared" si="1"/>
        <v>13</v>
      </c>
      <c r="F24" s="9" t="str">
        <f t="shared" si="5"/>
        <v>010D</v>
      </c>
      <c r="G24" s="9">
        <f t="shared" si="2"/>
        <v>128</v>
      </c>
      <c r="H24" s="9"/>
      <c r="I24" s="9"/>
      <c r="J24" s="9"/>
      <c r="K24" s="11"/>
      <c r="L24" s="11"/>
      <c r="M24" s="10">
        <v>9</v>
      </c>
      <c r="N24" s="10">
        <v>3</v>
      </c>
      <c r="O24" s="10">
        <v>13</v>
      </c>
    </row>
    <row r="25" spans="2:18" ht="15" customHeight="1" x14ac:dyDescent="0.25">
      <c r="B25" s="9">
        <f t="shared" si="3"/>
        <v>12</v>
      </c>
      <c r="C25" s="9">
        <f t="shared" si="0"/>
        <v>1</v>
      </c>
      <c r="D25" s="9" t="str">
        <f t="shared" si="4"/>
        <v>C</v>
      </c>
      <c r="E25" s="9">
        <f t="shared" si="1"/>
        <v>12</v>
      </c>
      <c r="F25" s="9" t="str">
        <f t="shared" si="5"/>
        <v>010C</v>
      </c>
      <c r="G25" s="9">
        <f t="shared" si="2"/>
        <v>128</v>
      </c>
      <c r="H25" s="9"/>
      <c r="I25" s="9"/>
      <c r="J25" s="9"/>
      <c r="K25" s="11"/>
      <c r="L25" s="11"/>
      <c r="M25" s="10">
        <v>8</v>
      </c>
      <c r="N25" s="10">
        <v>2</v>
      </c>
      <c r="O25" s="10">
        <v>12</v>
      </c>
    </row>
    <row r="26" spans="2:18" ht="15" customHeight="1" x14ac:dyDescent="0.25">
      <c r="B26" s="9">
        <f t="shared" si="3"/>
        <v>11</v>
      </c>
      <c r="C26" s="9">
        <f t="shared" si="0"/>
        <v>1</v>
      </c>
      <c r="D26" s="9" t="str">
        <f t="shared" si="4"/>
        <v>B</v>
      </c>
      <c r="E26" s="9">
        <f t="shared" si="1"/>
        <v>11</v>
      </c>
      <c r="F26" s="9" t="str">
        <f t="shared" si="5"/>
        <v>010B</v>
      </c>
      <c r="G26" s="9">
        <f t="shared" si="2"/>
        <v>128</v>
      </c>
      <c r="H26" s="9"/>
      <c r="I26" s="9"/>
      <c r="J26" s="9"/>
      <c r="K26" s="11"/>
      <c r="L26" s="11"/>
      <c r="M26" s="10">
        <v>9</v>
      </c>
      <c r="N26" s="10">
        <v>5</v>
      </c>
      <c r="O26" s="10">
        <v>11</v>
      </c>
      <c r="R26" s="2"/>
    </row>
    <row r="27" spans="2:18" ht="15" customHeight="1" x14ac:dyDescent="0.25">
      <c r="B27" s="9">
        <f t="shared" si="3"/>
        <v>10</v>
      </c>
      <c r="C27" s="9">
        <f t="shared" si="0"/>
        <v>1</v>
      </c>
      <c r="D27" s="9" t="str">
        <f t="shared" si="4"/>
        <v>A</v>
      </c>
      <c r="E27" s="9">
        <f t="shared" si="1"/>
        <v>10</v>
      </c>
      <c r="F27" s="9" t="str">
        <f t="shared" si="5"/>
        <v>010A</v>
      </c>
      <c r="G27" s="9">
        <f t="shared" si="2"/>
        <v>128</v>
      </c>
      <c r="H27" s="9"/>
      <c r="I27" s="9"/>
      <c r="J27" s="9"/>
      <c r="K27" s="11"/>
      <c r="L27" s="11"/>
      <c r="M27" s="10">
        <v>8</v>
      </c>
      <c r="N27" s="10">
        <v>4</v>
      </c>
      <c r="O27" s="10">
        <v>10</v>
      </c>
    </row>
    <row r="28" spans="2:18" ht="15" customHeight="1" x14ac:dyDescent="0.25">
      <c r="B28" s="9">
        <f t="shared" si="3"/>
        <v>9</v>
      </c>
      <c r="C28" s="9">
        <f t="shared" si="0"/>
        <v>1</v>
      </c>
      <c r="D28" s="9" t="str">
        <f t="shared" si="4"/>
        <v>9</v>
      </c>
      <c r="E28" s="9">
        <f t="shared" si="1"/>
        <v>9</v>
      </c>
      <c r="F28" s="9" t="str">
        <f t="shared" si="5"/>
        <v>0109</v>
      </c>
      <c r="G28" s="9">
        <f t="shared" si="2"/>
        <v>128</v>
      </c>
      <c r="H28" s="9"/>
      <c r="I28" s="9"/>
      <c r="J28" s="9"/>
      <c r="K28" s="11"/>
      <c r="L28" s="11"/>
      <c r="M28" s="10">
        <v>9</v>
      </c>
      <c r="N28" s="10">
        <v>3</v>
      </c>
      <c r="O28" s="10">
        <v>14</v>
      </c>
    </row>
    <row r="29" spans="2:18" ht="15" customHeight="1" x14ac:dyDescent="0.25">
      <c r="B29" s="9">
        <f>B30+1</f>
        <v>8</v>
      </c>
      <c r="C29" s="9">
        <f t="shared" si="0"/>
        <v>1</v>
      </c>
      <c r="D29" s="9" t="str">
        <f t="shared" si="4"/>
        <v>8</v>
      </c>
      <c r="E29" s="9">
        <f>E30+1</f>
        <v>8</v>
      </c>
      <c r="F29" s="9" t="str">
        <f t="shared" si="5"/>
        <v>0108</v>
      </c>
      <c r="G29" s="9">
        <f t="shared" si="2"/>
        <v>128</v>
      </c>
      <c r="H29" s="9"/>
      <c r="I29" s="9"/>
      <c r="J29" s="9"/>
      <c r="K29" s="11"/>
      <c r="L29" s="11"/>
      <c r="M29" s="10">
        <v>8</v>
      </c>
      <c r="N29" s="10">
        <v>2</v>
      </c>
      <c r="O29" s="10">
        <v>13</v>
      </c>
    </row>
    <row r="30" spans="2:18" ht="15" customHeight="1" x14ac:dyDescent="0.25">
      <c r="B30" s="9">
        <f t="shared" ref="B30:B35" si="6">B31+1</f>
        <v>7</v>
      </c>
      <c r="C30" s="9">
        <f t="shared" si="0"/>
        <v>1</v>
      </c>
      <c r="D30" s="9" t="str">
        <f t="shared" si="4"/>
        <v>7</v>
      </c>
      <c r="E30" s="9">
        <f t="shared" ref="E30:E35" si="7">E31+1</f>
        <v>7</v>
      </c>
      <c r="F30" s="9" t="str">
        <f t="shared" si="5"/>
        <v>0107</v>
      </c>
      <c r="G30" s="9">
        <f t="shared" si="2"/>
        <v>128</v>
      </c>
      <c r="H30" s="9"/>
      <c r="I30" s="9"/>
      <c r="J30" s="9"/>
      <c r="K30" s="11"/>
      <c r="L30" s="11"/>
      <c r="M30" s="10">
        <v>9</v>
      </c>
      <c r="N30" s="10">
        <v>5</v>
      </c>
      <c r="O30" s="10">
        <v>12</v>
      </c>
    </row>
    <row r="31" spans="2:18" ht="15" customHeight="1" x14ac:dyDescent="0.25">
      <c r="B31" s="9">
        <f t="shared" si="6"/>
        <v>6</v>
      </c>
      <c r="C31" s="9">
        <f t="shared" si="0"/>
        <v>1</v>
      </c>
      <c r="D31" s="9" t="str">
        <f t="shared" si="4"/>
        <v>6</v>
      </c>
      <c r="E31" s="9">
        <f t="shared" si="7"/>
        <v>6</v>
      </c>
      <c r="F31" s="9" t="str">
        <f t="shared" si="5"/>
        <v>0106</v>
      </c>
      <c r="G31" s="9">
        <f t="shared" si="2"/>
        <v>128</v>
      </c>
      <c r="H31" s="9"/>
      <c r="I31" s="9"/>
      <c r="J31" s="9"/>
      <c r="K31" s="11"/>
      <c r="L31" s="11"/>
      <c r="M31" s="10">
        <v>8</v>
      </c>
      <c r="N31" s="10">
        <v>4</v>
      </c>
      <c r="O31" s="10">
        <v>11</v>
      </c>
    </row>
    <row r="32" spans="2:18" ht="15" customHeight="1" x14ac:dyDescent="0.25">
      <c r="B32" s="9">
        <f t="shared" si="6"/>
        <v>5</v>
      </c>
      <c r="C32" s="9">
        <f t="shared" si="0"/>
        <v>1</v>
      </c>
      <c r="D32" s="9" t="str">
        <f t="shared" si="4"/>
        <v>5</v>
      </c>
      <c r="E32" s="9">
        <f t="shared" si="7"/>
        <v>5</v>
      </c>
      <c r="F32" s="9" t="str">
        <f t="shared" si="5"/>
        <v>0105</v>
      </c>
      <c r="G32" s="9">
        <f t="shared" si="2"/>
        <v>128</v>
      </c>
      <c r="H32" s="9"/>
      <c r="I32" s="9"/>
      <c r="J32" s="9"/>
      <c r="K32" s="11"/>
      <c r="L32" s="11"/>
      <c r="M32" s="10">
        <v>9</v>
      </c>
      <c r="N32" s="10">
        <v>3</v>
      </c>
      <c r="O32" s="10">
        <v>10</v>
      </c>
    </row>
    <row r="33" spans="2:21" ht="15" customHeight="1" x14ac:dyDescent="0.25">
      <c r="B33" s="9">
        <f t="shared" si="6"/>
        <v>4</v>
      </c>
      <c r="C33" s="9">
        <f t="shared" si="0"/>
        <v>1</v>
      </c>
      <c r="D33" s="9" t="str">
        <f t="shared" si="4"/>
        <v>4</v>
      </c>
      <c r="E33" s="9">
        <f t="shared" si="7"/>
        <v>4</v>
      </c>
      <c r="F33" s="9" t="str">
        <f t="shared" si="5"/>
        <v>0104</v>
      </c>
      <c r="G33" s="9">
        <f t="shared" si="2"/>
        <v>128</v>
      </c>
      <c r="H33" s="9"/>
      <c r="I33" s="9"/>
      <c r="J33" s="9"/>
      <c r="K33" s="11"/>
      <c r="L33" s="11"/>
      <c r="M33" s="10">
        <v>8</v>
      </c>
      <c r="N33" s="10">
        <v>2</v>
      </c>
      <c r="O33" s="10">
        <v>14</v>
      </c>
    </row>
    <row r="34" spans="2:21" ht="15" customHeight="1" x14ac:dyDescent="0.25">
      <c r="B34" s="9">
        <f t="shared" si="6"/>
        <v>3</v>
      </c>
      <c r="C34" s="9">
        <f t="shared" si="0"/>
        <v>1</v>
      </c>
      <c r="D34" s="9" t="str">
        <f t="shared" si="4"/>
        <v>3</v>
      </c>
      <c r="E34" s="9">
        <f t="shared" si="7"/>
        <v>3</v>
      </c>
      <c r="F34" s="9" t="str">
        <f t="shared" si="5"/>
        <v>0103</v>
      </c>
      <c r="G34" s="9">
        <f t="shared" si="2"/>
        <v>128</v>
      </c>
      <c r="H34" s="9"/>
      <c r="I34" s="9"/>
      <c r="J34" s="9"/>
      <c r="K34" s="11"/>
      <c r="L34" s="11"/>
      <c r="M34" s="10">
        <v>9</v>
      </c>
      <c r="N34" s="10">
        <v>5</v>
      </c>
      <c r="O34" s="10">
        <v>13</v>
      </c>
    </row>
    <row r="35" spans="2:21" ht="15" customHeight="1" x14ac:dyDescent="0.25">
      <c r="B35" s="9">
        <f t="shared" si="6"/>
        <v>2</v>
      </c>
      <c r="C35" s="9">
        <f t="shared" si="0"/>
        <v>1</v>
      </c>
      <c r="D35" s="9" t="str">
        <f t="shared" si="4"/>
        <v>2</v>
      </c>
      <c r="E35" s="9">
        <f t="shared" si="7"/>
        <v>2</v>
      </c>
      <c r="F35" s="9" t="str">
        <f t="shared" si="5"/>
        <v>0102</v>
      </c>
      <c r="G35" s="9">
        <f t="shared" si="2"/>
        <v>128</v>
      </c>
      <c r="H35" s="9"/>
      <c r="I35" s="9"/>
      <c r="J35" s="9"/>
      <c r="K35" s="11"/>
      <c r="L35" s="11"/>
      <c r="M35" s="10">
        <v>8</v>
      </c>
      <c r="N35" s="10">
        <v>4</v>
      </c>
      <c r="O35" s="10">
        <v>12</v>
      </c>
    </row>
    <row r="36" spans="2:21" ht="15" customHeight="1" x14ac:dyDescent="0.25">
      <c r="B36" s="9">
        <f>B37+1</f>
        <v>1</v>
      </c>
      <c r="C36" s="9">
        <f>C37</f>
        <v>1</v>
      </c>
      <c r="D36" s="9" t="str">
        <f>DEC2HEX(HEX2DEC(D37)+1)</f>
        <v>1</v>
      </c>
      <c r="E36" s="9">
        <f>E37+1</f>
        <v>1</v>
      </c>
      <c r="F36" s="9" t="str">
        <f t="shared" si="5"/>
        <v>0101</v>
      </c>
      <c r="G36" s="9">
        <f>G37</f>
        <v>128</v>
      </c>
      <c r="H36" s="9"/>
      <c r="I36" s="9"/>
      <c r="J36" s="9"/>
      <c r="K36" s="11"/>
      <c r="L36" s="11"/>
      <c r="M36" s="10">
        <v>9</v>
      </c>
      <c r="N36" s="10">
        <v>3</v>
      </c>
      <c r="O36" s="10">
        <v>11</v>
      </c>
    </row>
    <row r="37" spans="2:21" ht="15" customHeight="1" x14ac:dyDescent="0.25">
      <c r="B37" s="9">
        <v>0</v>
      </c>
      <c r="C37" s="9">
        <v>1</v>
      </c>
      <c r="D37" s="9">
        <v>0</v>
      </c>
      <c r="E37" s="9">
        <v>0</v>
      </c>
      <c r="F37" s="9" t="str">
        <f>IF(HEX2DEC(D37)&gt;15,IF(HEX2DEC(C37) &gt; 15,CONCATENATE(C37,D37),CONCATENATE("0",C37,D37)),IF(HEX2DEC(C37) &gt; 15,CONCATENATE(C37,"0",D37),CONCATENATE("0",C37,"0",D37)))</f>
        <v>0100</v>
      </c>
      <c r="G37" s="9">
        <v>128</v>
      </c>
      <c r="H37" s="9"/>
      <c r="I37" s="9"/>
      <c r="J37" s="9"/>
      <c r="K37" s="11"/>
      <c r="L37" s="11"/>
      <c r="M37" s="10">
        <v>8</v>
      </c>
      <c r="N37" s="10">
        <v>2</v>
      </c>
      <c r="O37" s="10">
        <v>10</v>
      </c>
    </row>
    <row r="39" spans="2:21" ht="11.1" customHeight="1" x14ac:dyDescent="0.25">
      <c r="B39" s="9"/>
      <c r="C39" s="4"/>
      <c r="D39" s="4"/>
      <c r="E39" s="4"/>
      <c r="F39" s="33" t="s">
        <v>2</v>
      </c>
      <c r="G39" s="34"/>
      <c r="H39" s="22"/>
      <c r="I39" s="22"/>
      <c r="J39" s="22"/>
      <c r="K39" s="4"/>
      <c r="L39" s="4"/>
      <c r="M39" s="14"/>
      <c r="N39" s="14"/>
      <c r="O39" s="14"/>
      <c r="P39" s="4"/>
      <c r="Q39" s="4"/>
      <c r="R39" s="4"/>
      <c r="S39" s="4"/>
      <c r="T39" s="4"/>
      <c r="U39" s="4"/>
    </row>
    <row r="40" spans="2:21" ht="11.1" customHeight="1" x14ac:dyDescent="0.25">
      <c r="C40" s="4"/>
      <c r="D40" s="4"/>
      <c r="E40" s="4"/>
      <c r="F40" s="15"/>
      <c r="G40" s="14"/>
      <c r="H40" s="14"/>
      <c r="I40" s="14"/>
      <c r="J40" s="14"/>
      <c r="K40" s="4"/>
      <c r="L40" s="4"/>
      <c r="M40" s="14"/>
      <c r="N40" s="14"/>
      <c r="O40" s="14"/>
      <c r="P40" s="4"/>
      <c r="Q40" s="4"/>
      <c r="R40" s="4"/>
      <c r="S40" s="4"/>
      <c r="T40" s="4"/>
      <c r="U40" s="4"/>
    </row>
    <row r="41" spans="2:21" ht="11.1" customHeight="1" x14ac:dyDescent="0.25">
      <c r="B41" s="17"/>
      <c r="C41" s="4"/>
      <c r="D41" s="4"/>
      <c r="E41" s="4"/>
      <c r="F41" s="33" t="s">
        <v>3</v>
      </c>
      <c r="G41" s="34"/>
      <c r="H41" s="22"/>
      <c r="I41" s="22"/>
      <c r="J41" s="22"/>
      <c r="K41" s="4"/>
      <c r="L41" s="4"/>
      <c r="M41" s="14"/>
      <c r="N41" s="14"/>
      <c r="O41" s="14"/>
      <c r="P41" s="4"/>
      <c r="Q41" s="4"/>
      <c r="R41" s="4"/>
      <c r="S41" s="4"/>
      <c r="T41" s="4"/>
      <c r="U41" s="4"/>
    </row>
    <row r="42" spans="2:21" ht="11.1" customHeight="1" x14ac:dyDescent="0.25">
      <c r="F42" s="15"/>
      <c r="G42" s="14"/>
      <c r="H42" s="14"/>
      <c r="I42" s="14"/>
      <c r="J42" s="14"/>
      <c r="K42" s="4"/>
      <c r="L42" s="4"/>
      <c r="M42" s="14"/>
      <c r="N42" s="14"/>
      <c r="O42" s="14"/>
      <c r="P42" s="4"/>
      <c r="Q42" s="4"/>
      <c r="R42" s="4"/>
      <c r="S42" s="4"/>
      <c r="T42" s="4"/>
      <c r="U42" s="4"/>
    </row>
    <row r="43" spans="2:21" x14ac:dyDescent="0.25">
      <c r="P43" s="4"/>
      <c r="Q43" s="4"/>
      <c r="R43" s="4"/>
      <c r="S43" s="4"/>
      <c r="T43" s="4"/>
      <c r="U43" s="4"/>
    </row>
  </sheetData>
  <mergeCells count="3">
    <mergeCell ref="B1:O1"/>
    <mergeCell ref="F39:G39"/>
    <mergeCell ref="F41:G41"/>
  </mergeCells>
  <dataValidations count="1">
    <dataValidation type="list" allowBlank="1" showInputMessage="1" showErrorMessage="1" error="Valid options are: Clear (empty cell), &quot;Enable&quot;, &quot;Disable&quot;, or Persistent Disable." sqref="H4:H37 J4:J37" xr:uid="{1D6796C4-3232-4781-9D1A-78E85D46967A}">
      <formula1>"Enable,Disable,Persistent Disable"</formula1>
    </dataValidation>
  </dataValidations>
  <pageMargins left="0.7" right="0.7" top="0.75" bottom="0.75" header="0.3" footer="0.3"/>
  <pageSetup orientation="landscape" horizont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56"/>
  <sheetViews>
    <sheetView workbookViewId="0">
      <selection activeCell="N10" sqref="N10"/>
    </sheetView>
  </sheetViews>
  <sheetFormatPr defaultRowHeight="15" x14ac:dyDescent="0.25"/>
  <sheetData>
    <row r="1" spans="1:5" x14ac:dyDescent="0.25">
      <c r="A1" t="s">
        <v>27</v>
      </c>
      <c r="B1" t="s">
        <v>5</v>
      </c>
      <c r="C1" t="s">
        <v>270</v>
      </c>
      <c r="D1" t="s">
        <v>279</v>
      </c>
      <c r="E1" t="s">
        <v>298</v>
      </c>
    </row>
    <row r="2" spans="1:5" x14ac:dyDescent="0.25">
      <c r="A2" t="s">
        <v>23</v>
      </c>
      <c r="B2">
        <v>1</v>
      </c>
      <c r="C2" t="s">
        <v>29</v>
      </c>
      <c r="D2" t="s">
        <v>23</v>
      </c>
      <c r="E2" t="s">
        <v>329</v>
      </c>
    </row>
    <row r="3" spans="1:5" x14ac:dyDescent="0.25">
      <c r="A3" t="s">
        <v>28</v>
      </c>
      <c r="B3">
        <f>B2+1</f>
        <v>2</v>
      </c>
      <c r="C3" t="s">
        <v>271</v>
      </c>
      <c r="D3" t="s">
        <v>28</v>
      </c>
      <c r="E3" t="s">
        <v>299</v>
      </c>
    </row>
    <row r="4" spans="1:5" x14ac:dyDescent="0.25">
      <c r="A4" t="s">
        <v>30</v>
      </c>
      <c r="B4">
        <f t="shared" ref="B4:B67" si="0">B3+1</f>
        <v>3</v>
      </c>
      <c r="C4" t="s">
        <v>272</v>
      </c>
      <c r="D4" t="s">
        <v>30</v>
      </c>
      <c r="E4" t="s">
        <v>300</v>
      </c>
    </row>
    <row r="5" spans="1:5" x14ac:dyDescent="0.25">
      <c r="A5" t="s">
        <v>31</v>
      </c>
      <c r="B5">
        <f t="shared" si="0"/>
        <v>4</v>
      </c>
      <c r="D5" t="s">
        <v>31</v>
      </c>
    </row>
    <row r="6" spans="1:5" x14ac:dyDescent="0.25">
      <c r="A6" t="s">
        <v>32</v>
      </c>
      <c r="B6">
        <f t="shared" si="0"/>
        <v>5</v>
      </c>
      <c r="D6" t="s">
        <v>32</v>
      </c>
    </row>
    <row r="7" spans="1:5" x14ac:dyDescent="0.25">
      <c r="A7" t="s">
        <v>33</v>
      </c>
      <c r="B7">
        <f t="shared" si="0"/>
        <v>6</v>
      </c>
      <c r="D7" t="s">
        <v>33</v>
      </c>
    </row>
    <row r="8" spans="1:5" x14ac:dyDescent="0.25">
      <c r="A8" t="s">
        <v>34</v>
      </c>
      <c r="B8">
        <f t="shared" si="0"/>
        <v>7</v>
      </c>
      <c r="D8" t="s">
        <v>34</v>
      </c>
    </row>
    <row r="9" spans="1:5" x14ac:dyDescent="0.25">
      <c r="A9" t="s">
        <v>35</v>
      </c>
      <c r="B9">
        <f t="shared" si="0"/>
        <v>8</v>
      </c>
      <c r="D9" t="s">
        <v>35</v>
      </c>
    </row>
    <row r="10" spans="1:5" x14ac:dyDescent="0.25">
      <c r="A10" t="s">
        <v>36</v>
      </c>
      <c r="B10">
        <f t="shared" si="0"/>
        <v>9</v>
      </c>
      <c r="D10" t="s">
        <v>36</v>
      </c>
    </row>
    <row r="11" spans="1:5" x14ac:dyDescent="0.25">
      <c r="A11" t="s">
        <v>37</v>
      </c>
      <c r="B11">
        <f t="shared" si="0"/>
        <v>10</v>
      </c>
      <c r="D11" t="s">
        <v>37</v>
      </c>
    </row>
    <row r="12" spans="1:5" x14ac:dyDescent="0.25">
      <c r="A12" t="s">
        <v>38</v>
      </c>
      <c r="B12">
        <f t="shared" si="0"/>
        <v>11</v>
      </c>
      <c r="D12" t="s">
        <v>38</v>
      </c>
    </row>
    <row r="13" spans="1:5" x14ac:dyDescent="0.25">
      <c r="A13" t="s">
        <v>39</v>
      </c>
      <c r="B13">
        <f t="shared" si="0"/>
        <v>12</v>
      </c>
      <c r="D13" t="s">
        <v>39</v>
      </c>
    </row>
    <row r="14" spans="1:5" x14ac:dyDescent="0.25">
      <c r="A14" t="s">
        <v>40</v>
      </c>
      <c r="B14">
        <f t="shared" si="0"/>
        <v>13</v>
      </c>
      <c r="D14" t="s">
        <v>40</v>
      </c>
    </row>
    <row r="15" spans="1:5" x14ac:dyDescent="0.25">
      <c r="A15" t="s">
        <v>41</v>
      </c>
      <c r="B15">
        <f t="shared" si="0"/>
        <v>14</v>
      </c>
      <c r="D15" t="s">
        <v>41</v>
      </c>
    </row>
    <row r="16" spans="1:5" x14ac:dyDescent="0.25">
      <c r="A16" t="s">
        <v>42</v>
      </c>
      <c r="B16">
        <f t="shared" si="0"/>
        <v>15</v>
      </c>
      <c r="D16" t="s">
        <v>42</v>
      </c>
    </row>
    <row r="17" spans="1:4" x14ac:dyDescent="0.25">
      <c r="A17" t="s">
        <v>43</v>
      </c>
      <c r="B17">
        <f t="shared" si="0"/>
        <v>16</v>
      </c>
      <c r="D17" t="s">
        <v>43</v>
      </c>
    </row>
    <row r="18" spans="1:4" x14ac:dyDescent="0.25">
      <c r="A18" t="s">
        <v>44</v>
      </c>
      <c r="B18">
        <f t="shared" si="0"/>
        <v>17</v>
      </c>
      <c r="D18" t="s">
        <v>44</v>
      </c>
    </row>
    <row r="19" spans="1:4" x14ac:dyDescent="0.25">
      <c r="A19" t="s">
        <v>45</v>
      </c>
      <c r="B19">
        <f t="shared" si="0"/>
        <v>18</v>
      </c>
      <c r="D19" t="s">
        <v>45</v>
      </c>
    </row>
    <row r="20" spans="1:4" x14ac:dyDescent="0.25">
      <c r="A20" t="s">
        <v>46</v>
      </c>
      <c r="B20">
        <f t="shared" si="0"/>
        <v>19</v>
      </c>
      <c r="D20" t="s">
        <v>46</v>
      </c>
    </row>
    <row r="21" spans="1:4" x14ac:dyDescent="0.25">
      <c r="A21" t="s">
        <v>47</v>
      </c>
      <c r="B21">
        <f t="shared" si="0"/>
        <v>20</v>
      </c>
      <c r="D21" t="s">
        <v>47</v>
      </c>
    </row>
    <row r="22" spans="1:4" x14ac:dyDescent="0.25">
      <c r="A22" t="s">
        <v>48</v>
      </c>
      <c r="B22">
        <f t="shared" si="0"/>
        <v>21</v>
      </c>
      <c r="D22" t="s">
        <v>48</v>
      </c>
    </row>
    <row r="23" spans="1:4" x14ac:dyDescent="0.25">
      <c r="A23" t="s">
        <v>49</v>
      </c>
      <c r="B23">
        <f t="shared" si="0"/>
        <v>22</v>
      </c>
      <c r="D23" t="s">
        <v>49</v>
      </c>
    </row>
    <row r="24" spans="1:4" x14ac:dyDescent="0.25">
      <c r="A24" t="s">
        <v>50</v>
      </c>
      <c r="B24">
        <f t="shared" si="0"/>
        <v>23</v>
      </c>
      <c r="D24" t="s">
        <v>50</v>
      </c>
    </row>
    <row r="25" spans="1:4" x14ac:dyDescent="0.25">
      <c r="A25" t="s">
        <v>51</v>
      </c>
      <c r="B25">
        <f t="shared" si="0"/>
        <v>24</v>
      </c>
      <c r="D25" t="s">
        <v>51</v>
      </c>
    </row>
    <row r="26" spans="1:4" x14ac:dyDescent="0.25">
      <c r="A26" t="s">
        <v>52</v>
      </c>
      <c r="B26">
        <f t="shared" si="0"/>
        <v>25</v>
      </c>
      <c r="D26" t="s">
        <v>52</v>
      </c>
    </row>
    <row r="27" spans="1:4" x14ac:dyDescent="0.25">
      <c r="A27" t="s">
        <v>53</v>
      </c>
      <c r="B27">
        <f t="shared" si="0"/>
        <v>26</v>
      </c>
      <c r="D27" t="s">
        <v>53</v>
      </c>
    </row>
    <row r="28" spans="1:4" x14ac:dyDescent="0.25">
      <c r="A28" t="s">
        <v>54</v>
      </c>
      <c r="B28">
        <f t="shared" si="0"/>
        <v>27</v>
      </c>
      <c r="D28" t="s">
        <v>54</v>
      </c>
    </row>
    <row r="29" spans="1:4" x14ac:dyDescent="0.25">
      <c r="A29" t="s">
        <v>55</v>
      </c>
      <c r="B29">
        <f t="shared" si="0"/>
        <v>28</v>
      </c>
      <c r="D29" t="s">
        <v>55</v>
      </c>
    </row>
    <row r="30" spans="1:4" x14ac:dyDescent="0.25">
      <c r="A30" t="s">
        <v>56</v>
      </c>
      <c r="B30">
        <f t="shared" si="0"/>
        <v>29</v>
      </c>
      <c r="D30" t="s">
        <v>56</v>
      </c>
    </row>
    <row r="31" spans="1:4" x14ac:dyDescent="0.25">
      <c r="A31" t="s">
        <v>57</v>
      </c>
      <c r="B31">
        <f t="shared" si="0"/>
        <v>30</v>
      </c>
      <c r="D31" t="s">
        <v>57</v>
      </c>
    </row>
    <row r="32" spans="1:4" x14ac:dyDescent="0.25">
      <c r="A32" t="s">
        <v>58</v>
      </c>
      <c r="B32">
        <f t="shared" si="0"/>
        <v>31</v>
      </c>
      <c r="D32" t="s">
        <v>58</v>
      </c>
    </row>
    <row r="33" spans="1:4" x14ac:dyDescent="0.25">
      <c r="A33" t="s">
        <v>59</v>
      </c>
      <c r="B33">
        <f t="shared" si="0"/>
        <v>32</v>
      </c>
      <c r="D33" t="s">
        <v>59</v>
      </c>
    </row>
    <row r="34" spans="1:4" x14ac:dyDescent="0.25">
      <c r="A34" t="s">
        <v>60</v>
      </c>
      <c r="B34">
        <f t="shared" si="0"/>
        <v>33</v>
      </c>
      <c r="D34" t="s">
        <v>60</v>
      </c>
    </row>
    <row r="35" spans="1:4" x14ac:dyDescent="0.25">
      <c r="A35" t="s">
        <v>61</v>
      </c>
      <c r="B35">
        <f t="shared" si="0"/>
        <v>34</v>
      </c>
      <c r="D35" t="s">
        <v>61</v>
      </c>
    </row>
    <row r="36" spans="1:4" x14ac:dyDescent="0.25">
      <c r="A36" t="s">
        <v>62</v>
      </c>
      <c r="B36">
        <f t="shared" si="0"/>
        <v>35</v>
      </c>
      <c r="D36" t="s">
        <v>62</v>
      </c>
    </row>
    <row r="37" spans="1:4" x14ac:dyDescent="0.25">
      <c r="A37" t="s">
        <v>63</v>
      </c>
      <c r="B37">
        <f t="shared" si="0"/>
        <v>36</v>
      </c>
      <c r="D37" t="s">
        <v>63</v>
      </c>
    </row>
    <row r="38" spans="1:4" x14ac:dyDescent="0.25">
      <c r="A38" t="s">
        <v>64</v>
      </c>
      <c r="B38">
        <f t="shared" si="0"/>
        <v>37</v>
      </c>
      <c r="D38" t="s">
        <v>64</v>
      </c>
    </row>
    <row r="39" spans="1:4" x14ac:dyDescent="0.25">
      <c r="A39" t="s">
        <v>65</v>
      </c>
      <c r="B39">
        <f t="shared" si="0"/>
        <v>38</v>
      </c>
      <c r="D39" t="s">
        <v>65</v>
      </c>
    </row>
    <row r="40" spans="1:4" x14ac:dyDescent="0.25">
      <c r="A40" t="s">
        <v>66</v>
      </c>
      <c r="B40">
        <f t="shared" si="0"/>
        <v>39</v>
      </c>
      <c r="D40" t="s">
        <v>66</v>
      </c>
    </row>
    <row r="41" spans="1:4" x14ac:dyDescent="0.25">
      <c r="A41" t="s">
        <v>67</v>
      </c>
      <c r="B41">
        <f t="shared" si="0"/>
        <v>40</v>
      </c>
      <c r="D41" t="s">
        <v>67</v>
      </c>
    </row>
    <row r="42" spans="1:4" x14ac:dyDescent="0.25">
      <c r="A42" t="s">
        <v>68</v>
      </c>
      <c r="B42">
        <f t="shared" si="0"/>
        <v>41</v>
      </c>
      <c r="D42" t="s">
        <v>68</v>
      </c>
    </row>
    <row r="43" spans="1:4" x14ac:dyDescent="0.25">
      <c r="A43" t="s">
        <v>69</v>
      </c>
      <c r="B43">
        <f t="shared" si="0"/>
        <v>42</v>
      </c>
      <c r="D43" t="s">
        <v>69</v>
      </c>
    </row>
    <row r="44" spans="1:4" x14ac:dyDescent="0.25">
      <c r="A44" t="s">
        <v>70</v>
      </c>
      <c r="B44">
        <f t="shared" si="0"/>
        <v>43</v>
      </c>
      <c r="D44" t="s">
        <v>70</v>
      </c>
    </row>
    <row r="45" spans="1:4" x14ac:dyDescent="0.25">
      <c r="A45" t="s">
        <v>71</v>
      </c>
      <c r="B45">
        <f t="shared" si="0"/>
        <v>44</v>
      </c>
      <c r="D45" t="s">
        <v>71</v>
      </c>
    </row>
    <row r="46" spans="1:4" x14ac:dyDescent="0.25">
      <c r="A46" t="s">
        <v>72</v>
      </c>
      <c r="B46">
        <f t="shared" si="0"/>
        <v>45</v>
      </c>
      <c r="D46" t="s">
        <v>72</v>
      </c>
    </row>
    <row r="47" spans="1:4" x14ac:dyDescent="0.25">
      <c r="A47" t="s">
        <v>73</v>
      </c>
      <c r="B47">
        <f t="shared" si="0"/>
        <v>46</v>
      </c>
      <c r="D47" t="s">
        <v>73</v>
      </c>
    </row>
    <row r="48" spans="1:4" x14ac:dyDescent="0.25">
      <c r="A48" t="s">
        <v>74</v>
      </c>
      <c r="B48">
        <f t="shared" si="0"/>
        <v>47</v>
      </c>
      <c r="D48" t="s">
        <v>74</v>
      </c>
    </row>
    <row r="49" spans="1:4" x14ac:dyDescent="0.25">
      <c r="A49" t="s">
        <v>75</v>
      </c>
      <c r="B49">
        <f t="shared" si="0"/>
        <v>48</v>
      </c>
      <c r="D49" t="s">
        <v>75</v>
      </c>
    </row>
    <row r="50" spans="1:4" x14ac:dyDescent="0.25">
      <c r="A50" t="s">
        <v>76</v>
      </c>
      <c r="B50">
        <f t="shared" si="0"/>
        <v>49</v>
      </c>
      <c r="D50" t="s">
        <v>76</v>
      </c>
    </row>
    <row r="51" spans="1:4" x14ac:dyDescent="0.25">
      <c r="A51" t="s">
        <v>77</v>
      </c>
      <c r="B51">
        <f t="shared" si="0"/>
        <v>50</v>
      </c>
      <c r="D51" t="s">
        <v>77</v>
      </c>
    </row>
    <row r="52" spans="1:4" x14ac:dyDescent="0.25">
      <c r="A52" t="s">
        <v>78</v>
      </c>
      <c r="B52">
        <f t="shared" si="0"/>
        <v>51</v>
      </c>
      <c r="D52" t="s">
        <v>78</v>
      </c>
    </row>
    <row r="53" spans="1:4" x14ac:dyDescent="0.25">
      <c r="A53" t="s">
        <v>79</v>
      </c>
      <c r="B53">
        <f t="shared" si="0"/>
        <v>52</v>
      </c>
      <c r="D53" t="s">
        <v>79</v>
      </c>
    </row>
    <row r="54" spans="1:4" x14ac:dyDescent="0.25">
      <c r="A54" t="s">
        <v>80</v>
      </c>
      <c r="B54">
        <f t="shared" si="0"/>
        <v>53</v>
      </c>
      <c r="D54" t="s">
        <v>80</v>
      </c>
    </row>
    <row r="55" spans="1:4" x14ac:dyDescent="0.25">
      <c r="A55" t="s">
        <v>81</v>
      </c>
      <c r="B55">
        <f t="shared" si="0"/>
        <v>54</v>
      </c>
      <c r="D55" t="s">
        <v>81</v>
      </c>
    </row>
    <row r="56" spans="1:4" x14ac:dyDescent="0.25">
      <c r="A56" t="s">
        <v>82</v>
      </c>
      <c r="B56">
        <f t="shared" si="0"/>
        <v>55</v>
      </c>
      <c r="D56" t="s">
        <v>82</v>
      </c>
    </row>
    <row r="57" spans="1:4" x14ac:dyDescent="0.25">
      <c r="A57" t="s">
        <v>83</v>
      </c>
      <c r="B57">
        <f t="shared" si="0"/>
        <v>56</v>
      </c>
      <c r="D57" t="s">
        <v>83</v>
      </c>
    </row>
    <row r="58" spans="1:4" x14ac:dyDescent="0.25">
      <c r="A58" t="s">
        <v>84</v>
      </c>
      <c r="B58">
        <f t="shared" si="0"/>
        <v>57</v>
      </c>
      <c r="D58" t="s">
        <v>84</v>
      </c>
    </row>
    <row r="59" spans="1:4" x14ac:dyDescent="0.25">
      <c r="A59" t="s">
        <v>85</v>
      </c>
      <c r="B59">
        <f t="shared" si="0"/>
        <v>58</v>
      </c>
      <c r="D59" t="s">
        <v>85</v>
      </c>
    </row>
    <row r="60" spans="1:4" x14ac:dyDescent="0.25">
      <c r="A60" t="s">
        <v>86</v>
      </c>
      <c r="B60">
        <f t="shared" si="0"/>
        <v>59</v>
      </c>
      <c r="D60" t="s">
        <v>86</v>
      </c>
    </row>
    <row r="61" spans="1:4" x14ac:dyDescent="0.25">
      <c r="A61" t="s">
        <v>87</v>
      </c>
      <c r="B61">
        <f t="shared" si="0"/>
        <v>60</v>
      </c>
      <c r="D61" t="s">
        <v>87</v>
      </c>
    </row>
    <row r="62" spans="1:4" x14ac:dyDescent="0.25">
      <c r="A62" t="s">
        <v>88</v>
      </c>
      <c r="B62">
        <f t="shared" si="0"/>
        <v>61</v>
      </c>
      <c r="D62" t="s">
        <v>88</v>
      </c>
    </row>
    <row r="63" spans="1:4" x14ac:dyDescent="0.25">
      <c r="A63" t="s">
        <v>89</v>
      </c>
      <c r="B63">
        <f t="shared" si="0"/>
        <v>62</v>
      </c>
      <c r="D63" t="s">
        <v>89</v>
      </c>
    </row>
    <row r="64" spans="1:4" x14ac:dyDescent="0.25">
      <c r="A64" t="s">
        <v>90</v>
      </c>
      <c r="B64">
        <f t="shared" si="0"/>
        <v>63</v>
      </c>
      <c r="D64" t="s">
        <v>90</v>
      </c>
    </row>
    <row r="65" spans="1:4" x14ac:dyDescent="0.25">
      <c r="A65" t="s">
        <v>91</v>
      </c>
      <c r="B65">
        <f t="shared" si="0"/>
        <v>64</v>
      </c>
      <c r="D65" t="s">
        <v>91</v>
      </c>
    </row>
    <row r="66" spans="1:4" x14ac:dyDescent="0.25">
      <c r="A66" t="s">
        <v>92</v>
      </c>
      <c r="B66">
        <f t="shared" si="0"/>
        <v>65</v>
      </c>
      <c r="D66" t="s">
        <v>92</v>
      </c>
    </row>
    <row r="67" spans="1:4" x14ac:dyDescent="0.25">
      <c r="A67" t="s">
        <v>93</v>
      </c>
      <c r="B67">
        <f t="shared" si="0"/>
        <v>66</v>
      </c>
      <c r="D67" t="s">
        <v>93</v>
      </c>
    </row>
    <row r="68" spans="1:4" x14ac:dyDescent="0.25">
      <c r="A68" t="s">
        <v>94</v>
      </c>
      <c r="B68">
        <f t="shared" ref="B68:B129" si="1">B67+1</f>
        <v>67</v>
      </c>
      <c r="D68" t="s">
        <v>94</v>
      </c>
    </row>
    <row r="69" spans="1:4" x14ac:dyDescent="0.25">
      <c r="A69" t="s">
        <v>95</v>
      </c>
      <c r="B69">
        <f t="shared" si="1"/>
        <v>68</v>
      </c>
      <c r="D69" t="s">
        <v>95</v>
      </c>
    </row>
    <row r="70" spans="1:4" x14ac:dyDescent="0.25">
      <c r="A70" t="s">
        <v>96</v>
      </c>
      <c r="B70">
        <f t="shared" si="1"/>
        <v>69</v>
      </c>
      <c r="D70" t="s">
        <v>96</v>
      </c>
    </row>
    <row r="71" spans="1:4" x14ac:dyDescent="0.25">
      <c r="A71" t="s">
        <v>97</v>
      </c>
      <c r="B71">
        <f t="shared" si="1"/>
        <v>70</v>
      </c>
      <c r="D71" t="s">
        <v>97</v>
      </c>
    </row>
    <row r="72" spans="1:4" x14ac:dyDescent="0.25">
      <c r="A72" t="s">
        <v>98</v>
      </c>
      <c r="B72">
        <f t="shared" si="1"/>
        <v>71</v>
      </c>
      <c r="D72" t="s">
        <v>98</v>
      </c>
    </row>
    <row r="73" spans="1:4" x14ac:dyDescent="0.25">
      <c r="A73" t="s">
        <v>99</v>
      </c>
      <c r="B73">
        <f t="shared" si="1"/>
        <v>72</v>
      </c>
      <c r="D73" t="s">
        <v>99</v>
      </c>
    </row>
    <row r="74" spans="1:4" x14ac:dyDescent="0.25">
      <c r="A74" t="s">
        <v>100</v>
      </c>
      <c r="B74">
        <f t="shared" si="1"/>
        <v>73</v>
      </c>
      <c r="D74" t="s">
        <v>100</v>
      </c>
    </row>
    <row r="75" spans="1:4" x14ac:dyDescent="0.25">
      <c r="A75" t="s">
        <v>101</v>
      </c>
      <c r="B75">
        <f t="shared" si="1"/>
        <v>74</v>
      </c>
      <c r="D75" t="s">
        <v>101</v>
      </c>
    </row>
    <row r="76" spans="1:4" x14ac:dyDescent="0.25">
      <c r="A76" t="s">
        <v>102</v>
      </c>
      <c r="B76">
        <f t="shared" si="1"/>
        <v>75</v>
      </c>
      <c r="D76" t="s">
        <v>102</v>
      </c>
    </row>
    <row r="77" spans="1:4" x14ac:dyDescent="0.25">
      <c r="A77" t="s">
        <v>103</v>
      </c>
      <c r="B77">
        <f t="shared" si="1"/>
        <v>76</v>
      </c>
      <c r="D77" t="s">
        <v>103</v>
      </c>
    </row>
    <row r="78" spans="1:4" x14ac:dyDescent="0.25">
      <c r="A78" t="s">
        <v>104</v>
      </c>
      <c r="B78">
        <f t="shared" si="1"/>
        <v>77</v>
      </c>
      <c r="D78" t="s">
        <v>104</v>
      </c>
    </row>
    <row r="79" spans="1:4" x14ac:dyDescent="0.25">
      <c r="A79" t="s">
        <v>105</v>
      </c>
      <c r="B79">
        <f t="shared" si="1"/>
        <v>78</v>
      </c>
      <c r="D79" t="s">
        <v>105</v>
      </c>
    </row>
    <row r="80" spans="1:4" x14ac:dyDescent="0.25">
      <c r="A80" t="s">
        <v>106</v>
      </c>
      <c r="B80">
        <f t="shared" si="1"/>
        <v>79</v>
      </c>
      <c r="D80" t="s">
        <v>106</v>
      </c>
    </row>
    <row r="81" spans="1:4" x14ac:dyDescent="0.25">
      <c r="A81" t="s">
        <v>107</v>
      </c>
      <c r="B81">
        <f t="shared" si="1"/>
        <v>80</v>
      </c>
      <c r="D81" t="s">
        <v>107</v>
      </c>
    </row>
    <row r="82" spans="1:4" x14ac:dyDescent="0.25">
      <c r="A82" t="s">
        <v>108</v>
      </c>
      <c r="B82">
        <f t="shared" si="1"/>
        <v>81</v>
      </c>
      <c r="D82" t="s">
        <v>108</v>
      </c>
    </row>
    <row r="83" spans="1:4" x14ac:dyDescent="0.25">
      <c r="A83" t="s">
        <v>109</v>
      </c>
      <c r="B83">
        <f t="shared" si="1"/>
        <v>82</v>
      </c>
      <c r="D83" t="s">
        <v>109</v>
      </c>
    </row>
    <row r="84" spans="1:4" x14ac:dyDescent="0.25">
      <c r="A84" t="s">
        <v>110</v>
      </c>
      <c r="B84">
        <f t="shared" si="1"/>
        <v>83</v>
      </c>
      <c r="D84" t="s">
        <v>110</v>
      </c>
    </row>
    <row r="85" spans="1:4" x14ac:dyDescent="0.25">
      <c r="A85" t="s">
        <v>111</v>
      </c>
      <c r="B85">
        <f t="shared" si="1"/>
        <v>84</v>
      </c>
      <c r="D85" t="s">
        <v>111</v>
      </c>
    </row>
    <row r="86" spans="1:4" x14ac:dyDescent="0.25">
      <c r="A86" t="s">
        <v>112</v>
      </c>
      <c r="B86">
        <f t="shared" si="1"/>
        <v>85</v>
      </c>
      <c r="D86" t="s">
        <v>112</v>
      </c>
    </row>
    <row r="87" spans="1:4" x14ac:dyDescent="0.25">
      <c r="A87" t="s">
        <v>113</v>
      </c>
      <c r="B87">
        <f t="shared" si="1"/>
        <v>86</v>
      </c>
      <c r="D87" t="s">
        <v>113</v>
      </c>
    </row>
    <row r="88" spans="1:4" x14ac:dyDescent="0.25">
      <c r="A88" t="s">
        <v>114</v>
      </c>
      <c r="B88">
        <f t="shared" si="1"/>
        <v>87</v>
      </c>
      <c r="D88" t="s">
        <v>114</v>
      </c>
    </row>
    <row r="89" spans="1:4" x14ac:dyDescent="0.25">
      <c r="A89" t="s">
        <v>115</v>
      </c>
      <c r="B89">
        <f t="shared" si="1"/>
        <v>88</v>
      </c>
      <c r="D89" t="s">
        <v>115</v>
      </c>
    </row>
    <row r="90" spans="1:4" x14ac:dyDescent="0.25">
      <c r="A90" t="s">
        <v>116</v>
      </c>
      <c r="B90">
        <f t="shared" si="1"/>
        <v>89</v>
      </c>
      <c r="D90" t="s">
        <v>116</v>
      </c>
    </row>
    <row r="91" spans="1:4" x14ac:dyDescent="0.25">
      <c r="A91" t="s">
        <v>117</v>
      </c>
      <c r="B91">
        <f t="shared" si="1"/>
        <v>90</v>
      </c>
      <c r="D91" t="s">
        <v>117</v>
      </c>
    </row>
    <row r="92" spans="1:4" x14ac:dyDescent="0.25">
      <c r="A92" t="s">
        <v>118</v>
      </c>
      <c r="B92">
        <f t="shared" si="1"/>
        <v>91</v>
      </c>
      <c r="D92" t="s">
        <v>118</v>
      </c>
    </row>
    <row r="93" spans="1:4" x14ac:dyDescent="0.25">
      <c r="A93" t="s">
        <v>119</v>
      </c>
      <c r="B93">
        <f t="shared" si="1"/>
        <v>92</v>
      </c>
      <c r="D93" t="s">
        <v>119</v>
      </c>
    </row>
    <row r="94" spans="1:4" x14ac:dyDescent="0.25">
      <c r="A94" t="s">
        <v>120</v>
      </c>
      <c r="B94">
        <f t="shared" si="1"/>
        <v>93</v>
      </c>
      <c r="D94" t="s">
        <v>120</v>
      </c>
    </row>
    <row r="95" spans="1:4" x14ac:dyDescent="0.25">
      <c r="A95" t="s">
        <v>121</v>
      </c>
      <c r="B95">
        <f t="shared" si="1"/>
        <v>94</v>
      </c>
      <c r="D95" t="s">
        <v>121</v>
      </c>
    </row>
    <row r="96" spans="1:4" x14ac:dyDescent="0.25">
      <c r="A96" t="s">
        <v>122</v>
      </c>
      <c r="B96">
        <f t="shared" si="1"/>
        <v>95</v>
      </c>
      <c r="D96" t="s">
        <v>122</v>
      </c>
    </row>
    <row r="97" spans="1:4" x14ac:dyDescent="0.25">
      <c r="A97" t="s">
        <v>123</v>
      </c>
      <c r="B97">
        <f t="shared" si="1"/>
        <v>96</v>
      </c>
      <c r="D97" t="s">
        <v>123</v>
      </c>
    </row>
    <row r="98" spans="1:4" x14ac:dyDescent="0.25">
      <c r="A98" t="s">
        <v>124</v>
      </c>
      <c r="B98">
        <f t="shared" si="1"/>
        <v>97</v>
      </c>
      <c r="D98" t="s">
        <v>124</v>
      </c>
    </row>
    <row r="99" spans="1:4" x14ac:dyDescent="0.25">
      <c r="A99" t="s">
        <v>125</v>
      </c>
      <c r="B99">
        <f t="shared" si="1"/>
        <v>98</v>
      </c>
      <c r="D99" t="s">
        <v>125</v>
      </c>
    </row>
    <row r="100" spans="1:4" x14ac:dyDescent="0.25">
      <c r="A100" t="s">
        <v>126</v>
      </c>
      <c r="B100">
        <f t="shared" si="1"/>
        <v>99</v>
      </c>
      <c r="D100" t="s">
        <v>126</v>
      </c>
    </row>
    <row r="101" spans="1:4" x14ac:dyDescent="0.25">
      <c r="A101" t="s">
        <v>127</v>
      </c>
      <c r="B101">
        <f t="shared" si="1"/>
        <v>100</v>
      </c>
      <c r="D101" t="s">
        <v>127</v>
      </c>
    </row>
    <row r="102" spans="1:4" x14ac:dyDescent="0.25">
      <c r="A102" t="s">
        <v>128</v>
      </c>
      <c r="B102">
        <f t="shared" si="1"/>
        <v>101</v>
      </c>
      <c r="D102" t="s">
        <v>128</v>
      </c>
    </row>
    <row r="103" spans="1:4" x14ac:dyDescent="0.25">
      <c r="A103" t="s">
        <v>129</v>
      </c>
      <c r="B103">
        <f t="shared" si="1"/>
        <v>102</v>
      </c>
      <c r="D103" t="s">
        <v>129</v>
      </c>
    </row>
    <row r="104" spans="1:4" x14ac:dyDescent="0.25">
      <c r="A104" t="s">
        <v>130</v>
      </c>
      <c r="B104">
        <f t="shared" si="1"/>
        <v>103</v>
      </c>
      <c r="D104" t="s">
        <v>130</v>
      </c>
    </row>
    <row r="105" spans="1:4" x14ac:dyDescent="0.25">
      <c r="A105" t="s">
        <v>131</v>
      </c>
      <c r="B105">
        <f t="shared" si="1"/>
        <v>104</v>
      </c>
      <c r="D105" t="s">
        <v>131</v>
      </c>
    </row>
    <row r="106" spans="1:4" x14ac:dyDescent="0.25">
      <c r="A106" t="s">
        <v>132</v>
      </c>
      <c r="B106">
        <f t="shared" si="1"/>
        <v>105</v>
      </c>
      <c r="D106" t="s">
        <v>132</v>
      </c>
    </row>
    <row r="107" spans="1:4" x14ac:dyDescent="0.25">
      <c r="A107" t="s">
        <v>133</v>
      </c>
      <c r="B107">
        <f t="shared" si="1"/>
        <v>106</v>
      </c>
      <c r="D107" t="s">
        <v>133</v>
      </c>
    </row>
    <row r="108" spans="1:4" x14ac:dyDescent="0.25">
      <c r="A108" t="s">
        <v>134</v>
      </c>
      <c r="B108">
        <f t="shared" si="1"/>
        <v>107</v>
      </c>
      <c r="D108" t="s">
        <v>134</v>
      </c>
    </row>
    <row r="109" spans="1:4" x14ac:dyDescent="0.25">
      <c r="A109" t="s">
        <v>135</v>
      </c>
      <c r="B109">
        <f t="shared" si="1"/>
        <v>108</v>
      </c>
      <c r="D109" t="s">
        <v>135</v>
      </c>
    </row>
    <row r="110" spans="1:4" x14ac:dyDescent="0.25">
      <c r="A110" t="s">
        <v>136</v>
      </c>
      <c r="B110">
        <f t="shared" si="1"/>
        <v>109</v>
      </c>
      <c r="D110" t="s">
        <v>136</v>
      </c>
    </row>
    <row r="111" spans="1:4" x14ac:dyDescent="0.25">
      <c r="A111" t="s">
        <v>137</v>
      </c>
      <c r="B111">
        <f t="shared" si="1"/>
        <v>110</v>
      </c>
      <c r="D111" t="s">
        <v>137</v>
      </c>
    </row>
    <row r="112" spans="1:4" x14ac:dyDescent="0.25">
      <c r="A112" t="s">
        <v>138</v>
      </c>
      <c r="B112">
        <f t="shared" si="1"/>
        <v>111</v>
      </c>
      <c r="D112" t="s">
        <v>138</v>
      </c>
    </row>
    <row r="113" spans="1:4" x14ac:dyDescent="0.25">
      <c r="A113" t="s">
        <v>139</v>
      </c>
      <c r="B113">
        <f t="shared" si="1"/>
        <v>112</v>
      </c>
      <c r="D113" t="s">
        <v>139</v>
      </c>
    </row>
    <row r="114" spans="1:4" x14ac:dyDescent="0.25">
      <c r="A114" t="s">
        <v>140</v>
      </c>
      <c r="B114">
        <f t="shared" si="1"/>
        <v>113</v>
      </c>
      <c r="D114" t="s">
        <v>140</v>
      </c>
    </row>
    <row r="115" spans="1:4" x14ac:dyDescent="0.25">
      <c r="A115" t="s">
        <v>141</v>
      </c>
      <c r="B115">
        <f t="shared" si="1"/>
        <v>114</v>
      </c>
      <c r="D115" t="s">
        <v>141</v>
      </c>
    </row>
    <row r="116" spans="1:4" x14ac:dyDescent="0.25">
      <c r="A116" t="s">
        <v>142</v>
      </c>
      <c r="B116">
        <f t="shared" si="1"/>
        <v>115</v>
      </c>
      <c r="D116" t="s">
        <v>142</v>
      </c>
    </row>
    <row r="117" spans="1:4" x14ac:dyDescent="0.25">
      <c r="A117" t="s">
        <v>143</v>
      </c>
      <c r="B117">
        <f t="shared" si="1"/>
        <v>116</v>
      </c>
      <c r="D117" t="s">
        <v>143</v>
      </c>
    </row>
    <row r="118" spans="1:4" x14ac:dyDescent="0.25">
      <c r="A118" t="s">
        <v>144</v>
      </c>
      <c r="B118">
        <f t="shared" si="1"/>
        <v>117</v>
      </c>
      <c r="D118" t="s">
        <v>144</v>
      </c>
    </row>
    <row r="119" spans="1:4" x14ac:dyDescent="0.25">
      <c r="A119" t="s">
        <v>145</v>
      </c>
      <c r="B119">
        <f t="shared" si="1"/>
        <v>118</v>
      </c>
      <c r="D119" t="s">
        <v>145</v>
      </c>
    </row>
    <row r="120" spans="1:4" x14ac:dyDescent="0.25">
      <c r="A120" t="s">
        <v>146</v>
      </c>
      <c r="B120">
        <f t="shared" si="1"/>
        <v>119</v>
      </c>
      <c r="D120" t="s">
        <v>146</v>
      </c>
    </row>
    <row r="121" spans="1:4" x14ac:dyDescent="0.25">
      <c r="A121" t="s">
        <v>147</v>
      </c>
      <c r="B121">
        <f t="shared" si="1"/>
        <v>120</v>
      </c>
      <c r="D121" t="s">
        <v>147</v>
      </c>
    </row>
    <row r="122" spans="1:4" x14ac:dyDescent="0.25">
      <c r="A122" t="s">
        <v>148</v>
      </c>
      <c r="B122">
        <f t="shared" si="1"/>
        <v>121</v>
      </c>
      <c r="D122" t="s">
        <v>148</v>
      </c>
    </row>
    <row r="123" spans="1:4" x14ac:dyDescent="0.25">
      <c r="A123" t="s">
        <v>149</v>
      </c>
      <c r="B123">
        <f t="shared" si="1"/>
        <v>122</v>
      </c>
      <c r="D123" t="s">
        <v>149</v>
      </c>
    </row>
    <row r="124" spans="1:4" x14ac:dyDescent="0.25">
      <c r="A124" t="s">
        <v>150</v>
      </c>
      <c r="B124">
        <f t="shared" si="1"/>
        <v>123</v>
      </c>
      <c r="D124" t="s">
        <v>150</v>
      </c>
    </row>
    <row r="125" spans="1:4" x14ac:dyDescent="0.25">
      <c r="A125" t="s">
        <v>151</v>
      </c>
      <c r="B125">
        <f t="shared" si="1"/>
        <v>124</v>
      </c>
      <c r="D125" t="s">
        <v>151</v>
      </c>
    </row>
    <row r="126" spans="1:4" x14ac:dyDescent="0.25">
      <c r="A126" t="s">
        <v>152</v>
      </c>
      <c r="B126">
        <f t="shared" si="1"/>
        <v>125</v>
      </c>
      <c r="D126" t="s">
        <v>152</v>
      </c>
    </row>
    <row r="127" spans="1:4" x14ac:dyDescent="0.25">
      <c r="A127" t="s">
        <v>153</v>
      </c>
      <c r="B127">
        <f t="shared" si="1"/>
        <v>126</v>
      </c>
      <c r="D127" t="s">
        <v>153</v>
      </c>
    </row>
    <row r="128" spans="1:4" x14ac:dyDescent="0.25">
      <c r="A128" t="s">
        <v>154</v>
      </c>
      <c r="B128">
        <f t="shared" si="1"/>
        <v>127</v>
      </c>
      <c r="D128" t="s">
        <v>154</v>
      </c>
    </row>
    <row r="129" spans="1:4" x14ac:dyDescent="0.25">
      <c r="A129" t="s">
        <v>155</v>
      </c>
      <c r="B129">
        <f t="shared" si="1"/>
        <v>128</v>
      </c>
      <c r="D129" t="s">
        <v>155</v>
      </c>
    </row>
    <row r="130" spans="1:4" x14ac:dyDescent="0.25">
      <c r="A130" t="s">
        <v>156</v>
      </c>
      <c r="D130" t="s">
        <v>156</v>
      </c>
    </row>
    <row r="131" spans="1:4" x14ac:dyDescent="0.25">
      <c r="A131" t="s">
        <v>157</v>
      </c>
      <c r="D131" t="s">
        <v>157</v>
      </c>
    </row>
    <row r="132" spans="1:4" x14ac:dyDescent="0.25">
      <c r="A132" t="s">
        <v>158</v>
      </c>
      <c r="D132" t="s">
        <v>158</v>
      </c>
    </row>
    <row r="133" spans="1:4" x14ac:dyDescent="0.25">
      <c r="A133" t="s">
        <v>159</v>
      </c>
      <c r="D133" t="s">
        <v>159</v>
      </c>
    </row>
    <row r="134" spans="1:4" x14ac:dyDescent="0.25">
      <c r="A134" t="s">
        <v>160</v>
      </c>
      <c r="D134" t="s">
        <v>160</v>
      </c>
    </row>
    <row r="135" spans="1:4" x14ac:dyDescent="0.25">
      <c r="A135" t="s">
        <v>161</v>
      </c>
      <c r="D135" t="s">
        <v>161</v>
      </c>
    </row>
    <row r="136" spans="1:4" x14ac:dyDescent="0.25">
      <c r="A136" t="s">
        <v>162</v>
      </c>
      <c r="D136" t="s">
        <v>162</v>
      </c>
    </row>
    <row r="137" spans="1:4" x14ac:dyDescent="0.25">
      <c r="A137" t="s">
        <v>163</v>
      </c>
      <c r="D137" t="s">
        <v>163</v>
      </c>
    </row>
    <row r="138" spans="1:4" x14ac:dyDescent="0.25">
      <c r="A138" t="s">
        <v>164</v>
      </c>
      <c r="D138" t="s">
        <v>164</v>
      </c>
    </row>
    <row r="139" spans="1:4" x14ac:dyDescent="0.25">
      <c r="A139" t="s">
        <v>165</v>
      </c>
      <c r="D139" t="s">
        <v>165</v>
      </c>
    </row>
    <row r="140" spans="1:4" x14ac:dyDescent="0.25">
      <c r="A140" t="s">
        <v>166</v>
      </c>
      <c r="D140" t="s">
        <v>166</v>
      </c>
    </row>
    <row r="141" spans="1:4" x14ac:dyDescent="0.25">
      <c r="A141" t="s">
        <v>167</v>
      </c>
      <c r="D141" t="s">
        <v>167</v>
      </c>
    </row>
    <row r="142" spans="1:4" x14ac:dyDescent="0.25">
      <c r="A142" t="s">
        <v>168</v>
      </c>
      <c r="D142" t="s">
        <v>168</v>
      </c>
    </row>
    <row r="143" spans="1:4" x14ac:dyDescent="0.25">
      <c r="A143" t="s">
        <v>169</v>
      </c>
      <c r="D143" t="s">
        <v>169</v>
      </c>
    </row>
    <row r="144" spans="1:4" x14ac:dyDescent="0.25">
      <c r="A144" t="s">
        <v>170</v>
      </c>
      <c r="D144" t="s">
        <v>170</v>
      </c>
    </row>
    <row r="145" spans="1:4" x14ac:dyDescent="0.25">
      <c r="A145" t="s">
        <v>171</v>
      </c>
      <c r="D145" t="s">
        <v>171</v>
      </c>
    </row>
    <row r="146" spans="1:4" x14ac:dyDescent="0.25">
      <c r="A146" t="s">
        <v>172</v>
      </c>
      <c r="D146" t="s">
        <v>172</v>
      </c>
    </row>
    <row r="147" spans="1:4" x14ac:dyDescent="0.25">
      <c r="A147" t="s">
        <v>173</v>
      </c>
      <c r="D147" t="s">
        <v>173</v>
      </c>
    </row>
    <row r="148" spans="1:4" x14ac:dyDescent="0.25">
      <c r="A148" t="s">
        <v>174</v>
      </c>
      <c r="D148" t="s">
        <v>174</v>
      </c>
    </row>
    <row r="149" spans="1:4" x14ac:dyDescent="0.25">
      <c r="A149" t="s">
        <v>175</v>
      </c>
      <c r="D149" t="s">
        <v>175</v>
      </c>
    </row>
    <row r="150" spans="1:4" x14ac:dyDescent="0.25">
      <c r="A150" t="s">
        <v>176</v>
      </c>
      <c r="D150" t="s">
        <v>176</v>
      </c>
    </row>
    <row r="151" spans="1:4" x14ac:dyDescent="0.25">
      <c r="A151" t="s">
        <v>177</v>
      </c>
      <c r="D151" t="s">
        <v>177</v>
      </c>
    </row>
    <row r="152" spans="1:4" x14ac:dyDescent="0.25">
      <c r="A152" t="s">
        <v>178</v>
      </c>
      <c r="D152" t="s">
        <v>178</v>
      </c>
    </row>
    <row r="153" spans="1:4" x14ac:dyDescent="0.25">
      <c r="A153" t="s">
        <v>179</v>
      </c>
      <c r="D153" t="s">
        <v>179</v>
      </c>
    </row>
    <row r="154" spans="1:4" x14ac:dyDescent="0.25">
      <c r="A154" t="s">
        <v>180</v>
      </c>
      <c r="D154" t="s">
        <v>180</v>
      </c>
    </row>
    <row r="155" spans="1:4" x14ac:dyDescent="0.25">
      <c r="A155" t="s">
        <v>181</v>
      </c>
      <c r="D155" t="s">
        <v>181</v>
      </c>
    </row>
    <row r="156" spans="1:4" x14ac:dyDescent="0.25">
      <c r="A156" t="s">
        <v>182</v>
      </c>
      <c r="D156" t="s">
        <v>182</v>
      </c>
    </row>
    <row r="157" spans="1:4" x14ac:dyDescent="0.25">
      <c r="A157" t="s">
        <v>183</v>
      </c>
      <c r="D157" t="s">
        <v>183</v>
      </c>
    </row>
    <row r="158" spans="1:4" x14ac:dyDescent="0.25">
      <c r="A158" t="s">
        <v>184</v>
      </c>
      <c r="D158" t="s">
        <v>184</v>
      </c>
    </row>
    <row r="159" spans="1:4" x14ac:dyDescent="0.25">
      <c r="A159" t="s">
        <v>185</v>
      </c>
      <c r="D159" t="s">
        <v>185</v>
      </c>
    </row>
    <row r="160" spans="1:4" x14ac:dyDescent="0.25">
      <c r="A160" t="s">
        <v>186</v>
      </c>
      <c r="D160" t="s">
        <v>186</v>
      </c>
    </row>
    <row r="161" spans="1:4" x14ac:dyDescent="0.25">
      <c r="A161" t="s">
        <v>187</v>
      </c>
      <c r="D161" t="s">
        <v>187</v>
      </c>
    </row>
    <row r="162" spans="1:4" x14ac:dyDescent="0.25">
      <c r="A162" t="s">
        <v>188</v>
      </c>
      <c r="D162" t="s">
        <v>188</v>
      </c>
    </row>
    <row r="163" spans="1:4" x14ac:dyDescent="0.25">
      <c r="A163" t="s">
        <v>189</v>
      </c>
      <c r="D163" t="s">
        <v>189</v>
      </c>
    </row>
    <row r="164" spans="1:4" x14ac:dyDescent="0.25">
      <c r="A164" t="s">
        <v>190</v>
      </c>
      <c r="D164" t="s">
        <v>190</v>
      </c>
    </row>
    <row r="165" spans="1:4" x14ac:dyDescent="0.25">
      <c r="A165" t="s">
        <v>191</v>
      </c>
      <c r="D165" t="s">
        <v>191</v>
      </c>
    </row>
    <row r="166" spans="1:4" x14ac:dyDescent="0.25">
      <c r="A166" t="s">
        <v>192</v>
      </c>
      <c r="D166" t="s">
        <v>192</v>
      </c>
    </row>
    <row r="167" spans="1:4" x14ac:dyDescent="0.25">
      <c r="A167" t="s">
        <v>193</v>
      </c>
      <c r="D167" t="s">
        <v>193</v>
      </c>
    </row>
    <row r="168" spans="1:4" x14ac:dyDescent="0.25">
      <c r="A168" t="s">
        <v>194</v>
      </c>
      <c r="D168" t="s">
        <v>194</v>
      </c>
    </row>
    <row r="169" spans="1:4" x14ac:dyDescent="0.25">
      <c r="A169" t="s">
        <v>195</v>
      </c>
      <c r="D169" t="s">
        <v>195</v>
      </c>
    </row>
    <row r="170" spans="1:4" x14ac:dyDescent="0.25">
      <c r="A170" t="s">
        <v>196</v>
      </c>
      <c r="D170" t="s">
        <v>196</v>
      </c>
    </row>
    <row r="171" spans="1:4" x14ac:dyDescent="0.25">
      <c r="A171" t="s">
        <v>197</v>
      </c>
      <c r="D171" t="s">
        <v>197</v>
      </c>
    </row>
    <row r="172" spans="1:4" x14ac:dyDescent="0.25">
      <c r="A172" t="s">
        <v>198</v>
      </c>
      <c r="D172" t="s">
        <v>198</v>
      </c>
    </row>
    <row r="173" spans="1:4" x14ac:dyDescent="0.25">
      <c r="A173" t="s">
        <v>199</v>
      </c>
      <c r="D173" t="s">
        <v>199</v>
      </c>
    </row>
    <row r="174" spans="1:4" x14ac:dyDescent="0.25">
      <c r="A174" t="s">
        <v>200</v>
      </c>
      <c r="D174" t="s">
        <v>200</v>
      </c>
    </row>
    <row r="175" spans="1:4" x14ac:dyDescent="0.25">
      <c r="A175" t="s">
        <v>201</v>
      </c>
      <c r="D175" t="s">
        <v>201</v>
      </c>
    </row>
    <row r="176" spans="1:4" x14ac:dyDescent="0.25">
      <c r="A176" t="s">
        <v>202</v>
      </c>
      <c r="D176" t="s">
        <v>202</v>
      </c>
    </row>
    <row r="177" spans="1:4" x14ac:dyDescent="0.25">
      <c r="A177" t="s">
        <v>203</v>
      </c>
      <c r="D177" t="s">
        <v>203</v>
      </c>
    </row>
    <row r="178" spans="1:4" x14ac:dyDescent="0.25">
      <c r="A178" t="s">
        <v>204</v>
      </c>
      <c r="D178" t="s">
        <v>204</v>
      </c>
    </row>
    <row r="179" spans="1:4" x14ac:dyDescent="0.25">
      <c r="A179" t="s">
        <v>205</v>
      </c>
      <c r="D179" t="s">
        <v>205</v>
      </c>
    </row>
    <row r="180" spans="1:4" x14ac:dyDescent="0.25">
      <c r="A180" t="s">
        <v>206</v>
      </c>
      <c r="D180" t="s">
        <v>206</v>
      </c>
    </row>
    <row r="181" spans="1:4" x14ac:dyDescent="0.25">
      <c r="A181" t="s">
        <v>207</v>
      </c>
      <c r="D181" t="s">
        <v>207</v>
      </c>
    </row>
    <row r="182" spans="1:4" x14ac:dyDescent="0.25">
      <c r="A182" t="s">
        <v>208</v>
      </c>
      <c r="D182" t="s">
        <v>208</v>
      </c>
    </row>
    <row r="183" spans="1:4" x14ac:dyDescent="0.25">
      <c r="A183" t="s">
        <v>209</v>
      </c>
      <c r="D183" t="s">
        <v>209</v>
      </c>
    </row>
    <row r="184" spans="1:4" x14ac:dyDescent="0.25">
      <c r="A184" t="s">
        <v>210</v>
      </c>
      <c r="D184" t="s">
        <v>210</v>
      </c>
    </row>
    <row r="185" spans="1:4" x14ac:dyDescent="0.25">
      <c r="A185" t="s">
        <v>211</v>
      </c>
      <c r="D185" t="s">
        <v>211</v>
      </c>
    </row>
    <row r="186" spans="1:4" x14ac:dyDescent="0.25">
      <c r="A186" t="s">
        <v>212</v>
      </c>
      <c r="D186" t="s">
        <v>212</v>
      </c>
    </row>
    <row r="187" spans="1:4" x14ac:dyDescent="0.25">
      <c r="A187" t="s">
        <v>213</v>
      </c>
      <c r="D187" t="s">
        <v>213</v>
      </c>
    </row>
    <row r="188" spans="1:4" x14ac:dyDescent="0.25">
      <c r="A188" t="s">
        <v>214</v>
      </c>
      <c r="D188" t="s">
        <v>214</v>
      </c>
    </row>
    <row r="189" spans="1:4" x14ac:dyDescent="0.25">
      <c r="A189" t="s">
        <v>215</v>
      </c>
      <c r="D189" t="s">
        <v>215</v>
      </c>
    </row>
    <row r="190" spans="1:4" x14ac:dyDescent="0.25">
      <c r="A190" t="s">
        <v>216</v>
      </c>
      <c r="D190" t="s">
        <v>216</v>
      </c>
    </row>
    <row r="191" spans="1:4" x14ac:dyDescent="0.25">
      <c r="A191" t="s">
        <v>217</v>
      </c>
      <c r="D191" t="s">
        <v>217</v>
      </c>
    </row>
    <row r="192" spans="1:4" x14ac:dyDescent="0.25">
      <c r="A192" t="s">
        <v>218</v>
      </c>
      <c r="D192" t="s">
        <v>218</v>
      </c>
    </row>
    <row r="193" spans="1:4" x14ac:dyDescent="0.25">
      <c r="A193" t="s">
        <v>219</v>
      </c>
      <c r="D193" t="s">
        <v>219</v>
      </c>
    </row>
    <row r="194" spans="1:4" x14ac:dyDescent="0.25">
      <c r="A194" t="s">
        <v>220</v>
      </c>
      <c r="D194" t="s">
        <v>220</v>
      </c>
    </row>
    <row r="195" spans="1:4" x14ac:dyDescent="0.25">
      <c r="A195" t="s">
        <v>221</v>
      </c>
      <c r="D195" t="s">
        <v>221</v>
      </c>
    </row>
    <row r="196" spans="1:4" x14ac:dyDescent="0.25">
      <c r="A196" t="s">
        <v>222</v>
      </c>
      <c r="D196" t="s">
        <v>222</v>
      </c>
    </row>
    <row r="197" spans="1:4" x14ac:dyDescent="0.25">
      <c r="A197" t="s">
        <v>223</v>
      </c>
      <c r="D197" t="s">
        <v>223</v>
      </c>
    </row>
    <row r="198" spans="1:4" x14ac:dyDescent="0.25">
      <c r="A198" t="s">
        <v>224</v>
      </c>
      <c r="D198" t="s">
        <v>224</v>
      </c>
    </row>
    <row r="199" spans="1:4" x14ac:dyDescent="0.25">
      <c r="A199" t="s">
        <v>225</v>
      </c>
      <c r="D199" t="s">
        <v>225</v>
      </c>
    </row>
    <row r="200" spans="1:4" x14ac:dyDescent="0.25">
      <c r="A200" t="s">
        <v>226</v>
      </c>
      <c r="D200" t="s">
        <v>226</v>
      </c>
    </row>
    <row r="201" spans="1:4" x14ac:dyDescent="0.25">
      <c r="A201" t="s">
        <v>227</v>
      </c>
      <c r="D201" t="s">
        <v>227</v>
      </c>
    </row>
    <row r="202" spans="1:4" x14ac:dyDescent="0.25">
      <c r="A202" t="s">
        <v>228</v>
      </c>
      <c r="D202" t="s">
        <v>228</v>
      </c>
    </row>
    <row r="203" spans="1:4" x14ac:dyDescent="0.25">
      <c r="A203" t="s">
        <v>229</v>
      </c>
      <c r="D203" t="s">
        <v>229</v>
      </c>
    </row>
    <row r="204" spans="1:4" x14ac:dyDescent="0.25">
      <c r="A204" t="s">
        <v>230</v>
      </c>
      <c r="D204" t="s">
        <v>230</v>
      </c>
    </row>
    <row r="205" spans="1:4" x14ac:dyDescent="0.25">
      <c r="A205" t="s">
        <v>231</v>
      </c>
      <c r="D205" t="s">
        <v>231</v>
      </c>
    </row>
    <row r="206" spans="1:4" x14ac:dyDescent="0.25">
      <c r="A206" t="s">
        <v>232</v>
      </c>
      <c r="D206" t="s">
        <v>232</v>
      </c>
    </row>
    <row r="207" spans="1:4" x14ac:dyDescent="0.25">
      <c r="A207" t="s">
        <v>233</v>
      </c>
      <c r="D207" t="s">
        <v>233</v>
      </c>
    </row>
    <row r="208" spans="1:4" x14ac:dyDescent="0.25">
      <c r="A208" t="s">
        <v>234</v>
      </c>
      <c r="D208" t="s">
        <v>234</v>
      </c>
    </row>
    <row r="209" spans="1:4" x14ac:dyDescent="0.25">
      <c r="A209" t="s">
        <v>235</v>
      </c>
      <c r="D209" t="s">
        <v>235</v>
      </c>
    </row>
    <row r="210" spans="1:4" x14ac:dyDescent="0.25">
      <c r="A210" t="s">
        <v>236</v>
      </c>
      <c r="D210" t="s">
        <v>236</v>
      </c>
    </row>
    <row r="211" spans="1:4" x14ac:dyDescent="0.25">
      <c r="A211" t="s">
        <v>237</v>
      </c>
      <c r="D211" t="s">
        <v>237</v>
      </c>
    </row>
    <row r="212" spans="1:4" x14ac:dyDescent="0.25">
      <c r="A212" t="s">
        <v>238</v>
      </c>
      <c r="D212" t="s">
        <v>238</v>
      </c>
    </row>
    <row r="213" spans="1:4" x14ac:dyDescent="0.25">
      <c r="A213" t="s">
        <v>239</v>
      </c>
      <c r="D213" t="s">
        <v>239</v>
      </c>
    </row>
    <row r="214" spans="1:4" x14ac:dyDescent="0.25">
      <c r="A214" t="s">
        <v>240</v>
      </c>
      <c r="D214" t="s">
        <v>240</v>
      </c>
    </row>
    <row r="215" spans="1:4" x14ac:dyDescent="0.25">
      <c r="A215" t="s">
        <v>241</v>
      </c>
      <c r="D215" t="s">
        <v>241</v>
      </c>
    </row>
    <row r="216" spans="1:4" x14ac:dyDescent="0.25">
      <c r="A216" t="s">
        <v>242</v>
      </c>
      <c r="D216" t="s">
        <v>242</v>
      </c>
    </row>
    <row r="217" spans="1:4" x14ac:dyDescent="0.25">
      <c r="A217" t="s">
        <v>243</v>
      </c>
      <c r="D217" t="s">
        <v>243</v>
      </c>
    </row>
    <row r="218" spans="1:4" x14ac:dyDescent="0.25">
      <c r="A218" t="s">
        <v>244</v>
      </c>
      <c r="D218" t="s">
        <v>244</v>
      </c>
    </row>
    <row r="219" spans="1:4" x14ac:dyDescent="0.25">
      <c r="A219" t="s">
        <v>245</v>
      </c>
      <c r="D219" t="s">
        <v>245</v>
      </c>
    </row>
    <row r="220" spans="1:4" x14ac:dyDescent="0.25">
      <c r="A220" t="s">
        <v>246</v>
      </c>
      <c r="D220" t="s">
        <v>246</v>
      </c>
    </row>
    <row r="221" spans="1:4" x14ac:dyDescent="0.25">
      <c r="A221" t="s">
        <v>247</v>
      </c>
      <c r="D221" t="s">
        <v>247</v>
      </c>
    </row>
    <row r="222" spans="1:4" x14ac:dyDescent="0.25">
      <c r="A222" t="s">
        <v>248</v>
      </c>
      <c r="D222" t="s">
        <v>248</v>
      </c>
    </row>
    <row r="223" spans="1:4" x14ac:dyDescent="0.25">
      <c r="A223" t="s">
        <v>249</v>
      </c>
      <c r="D223" t="s">
        <v>249</v>
      </c>
    </row>
    <row r="224" spans="1:4" x14ac:dyDescent="0.25">
      <c r="A224" t="s">
        <v>250</v>
      </c>
      <c r="D224" t="s">
        <v>250</v>
      </c>
    </row>
    <row r="225" spans="1:4" x14ac:dyDescent="0.25">
      <c r="A225" t="s">
        <v>251</v>
      </c>
      <c r="D225" t="s">
        <v>251</v>
      </c>
    </row>
    <row r="226" spans="1:4" x14ac:dyDescent="0.25">
      <c r="A226" t="s">
        <v>252</v>
      </c>
      <c r="D226" t="s">
        <v>252</v>
      </c>
    </row>
    <row r="227" spans="1:4" x14ac:dyDescent="0.25">
      <c r="A227" t="s">
        <v>253</v>
      </c>
      <c r="D227" t="s">
        <v>253</v>
      </c>
    </row>
    <row r="228" spans="1:4" x14ac:dyDescent="0.25">
      <c r="A228" t="s">
        <v>254</v>
      </c>
      <c r="D228" t="s">
        <v>254</v>
      </c>
    </row>
    <row r="229" spans="1:4" x14ac:dyDescent="0.25">
      <c r="A229" t="s">
        <v>255</v>
      </c>
      <c r="D229" t="s">
        <v>255</v>
      </c>
    </row>
    <row r="230" spans="1:4" x14ac:dyDescent="0.25">
      <c r="A230" t="s">
        <v>256</v>
      </c>
      <c r="D230" t="s">
        <v>256</v>
      </c>
    </row>
    <row r="231" spans="1:4" x14ac:dyDescent="0.25">
      <c r="A231" t="s">
        <v>257</v>
      </c>
      <c r="D231" t="s">
        <v>257</v>
      </c>
    </row>
    <row r="232" spans="1:4" x14ac:dyDescent="0.25">
      <c r="A232" t="s">
        <v>258</v>
      </c>
      <c r="D232" t="s">
        <v>258</v>
      </c>
    </row>
    <row r="233" spans="1:4" x14ac:dyDescent="0.25">
      <c r="A233" t="s">
        <v>259</v>
      </c>
      <c r="D233" t="s">
        <v>259</v>
      </c>
    </row>
    <row r="234" spans="1:4" x14ac:dyDescent="0.25">
      <c r="A234" t="s">
        <v>260</v>
      </c>
      <c r="D234" t="s">
        <v>260</v>
      </c>
    </row>
    <row r="235" spans="1:4" x14ac:dyDescent="0.25">
      <c r="A235" t="s">
        <v>261</v>
      </c>
      <c r="D235" t="s">
        <v>261</v>
      </c>
    </row>
    <row r="236" spans="1:4" x14ac:dyDescent="0.25">
      <c r="A236" t="s">
        <v>262</v>
      </c>
      <c r="D236" t="s">
        <v>262</v>
      </c>
    </row>
    <row r="237" spans="1:4" x14ac:dyDescent="0.25">
      <c r="A237" t="s">
        <v>263</v>
      </c>
      <c r="D237" t="s">
        <v>263</v>
      </c>
    </row>
    <row r="238" spans="1:4" x14ac:dyDescent="0.25">
      <c r="A238" t="s">
        <v>264</v>
      </c>
      <c r="D238" t="s">
        <v>264</v>
      </c>
    </row>
    <row r="239" spans="1:4" x14ac:dyDescent="0.25">
      <c r="A239" t="s">
        <v>265</v>
      </c>
      <c r="D239" t="s">
        <v>265</v>
      </c>
    </row>
    <row r="240" spans="1:4" x14ac:dyDescent="0.25">
      <c r="A240" t="s">
        <v>266</v>
      </c>
      <c r="D240" t="s">
        <v>266</v>
      </c>
    </row>
    <row r="241" spans="4:4" x14ac:dyDescent="0.25">
      <c r="D241" t="s">
        <v>280</v>
      </c>
    </row>
    <row r="242" spans="4:4" x14ac:dyDescent="0.25">
      <c r="D242" t="s">
        <v>281</v>
      </c>
    </row>
    <row r="243" spans="4:4" x14ac:dyDescent="0.25">
      <c r="D243" t="s">
        <v>282</v>
      </c>
    </row>
    <row r="244" spans="4:4" x14ac:dyDescent="0.25">
      <c r="D244" t="s">
        <v>283</v>
      </c>
    </row>
    <row r="245" spans="4:4" x14ac:dyDescent="0.25">
      <c r="D245" t="s">
        <v>284</v>
      </c>
    </row>
    <row r="246" spans="4:4" x14ac:dyDescent="0.25">
      <c r="D246" t="s">
        <v>285</v>
      </c>
    </row>
    <row r="247" spans="4:4" x14ac:dyDescent="0.25">
      <c r="D247" t="s">
        <v>286</v>
      </c>
    </row>
    <row r="248" spans="4:4" x14ac:dyDescent="0.25">
      <c r="D248" t="s">
        <v>287</v>
      </c>
    </row>
    <row r="249" spans="4:4" x14ac:dyDescent="0.25">
      <c r="D249" t="s">
        <v>288</v>
      </c>
    </row>
    <row r="250" spans="4:4" x14ac:dyDescent="0.25">
      <c r="D250" t="s">
        <v>289</v>
      </c>
    </row>
    <row r="251" spans="4:4" x14ac:dyDescent="0.25">
      <c r="D251" t="s">
        <v>290</v>
      </c>
    </row>
    <row r="252" spans="4:4" x14ac:dyDescent="0.25">
      <c r="D252" t="s">
        <v>291</v>
      </c>
    </row>
    <row r="253" spans="4:4" x14ac:dyDescent="0.25">
      <c r="D253" t="s">
        <v>292</v>
      </c>
    </row>
    <row r="254" spans="4:4" x14ac:dyDescent="0.25">
      <c r="D254" t="s">
        <v>293</v>
      </c>
    </row>
    <row r="255" spans="4:4" x14ac:dyDescent="0.25">
      <c r="D255" t="s">
        <v>294</v>
      </c>
    </row>
    <row r="256" spans="4:4" x14ac:dyDescent="0.25">
      <c r="D256" t="s">
        <v>295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A1:D18"/>
  <sheetViews>
    <sheetView workbookViewId="0">
      <selection activeCell="N10" sqref="N10"/>
    </sheetView>
  </sheetViews>
  <sheetFormatPr defaultRowHeight="15" x14ac:dyDescent="0.25"/>
  <sheetData>
    <row r="1" spans="1:4" x14ac:dyDescent="0.25">
      <c r="A1">
        <v>0</v>
      </c>
      <c r="B1">
        <v>2</v>
      </c>
      <c r="C1">
        <v>8</v>
      </c>
      <c r="D1">
        <v>10</v>
      </c>
    </row>
    <row r="2" spans="1:4" x14ac:dyDescent="0.25">
      <c r="A2">
        <v>1</v>
      </c>
      <c r="B2">
        <v>3</v>
      </c>
      <c r="C2">
        <v>9</v>
      </c>
      <c r="D2">
        <v>11</v>
      </c>
    </row>
    <row r="3" spans="1:4" x14ac:dyDescent="0.25">
      <c r="A3">
        <v>2</v>
      </c>
      <c r="B3">
        <v>4</v>
      </c>
      <c r="C3">
        <v>8</v>
      </c>
      <c r="D3">
        <v>12</v>
      </c>
    </row>
    <row r="4" spans="1:4" x14ac:dyDescent="0.25">
      <c r="A4">
        <v>3</v>
      </c>
      <c r="B4">
        <v>5</v>
      </c>
      <c r="C4">
        <v>9</v>
      </c>
      <c r="D4">
        <v>13</v>
      </c>
    </row>
    <row r="5" spans="1:4" x14ac:dyDescent="0.25">
      <c r="A5">
        <v>4</v>
      </c>
      <c r="B5">
        <v>2</v>
      </c>
      <c r="C5">
        <v>8</v>
      </c>
      <c r="D5">
        <v>14</v>
      </c>
    </row>
    <row r="6" spans="1:4" x14ac:dyDescent="0.25">
      <c r="A6">
        <v>5</v>
      </c>
      <c r="B6">
        <v>3</v>
      </c>
      <c r="C6">
        <v>9</v>
      </c>
      <c r="D6">
        <v>10</v>
      </c>
    </row>
    <row r="7" spans="1:4" x14ac:dyDescent="0.25">
      <c r="A7">
        <v>6</v>
      </c>
      <c r="B7">
        <v>4</v>
      </c>
      <c r="C7">
        <v>8</v>
      </c>
      <c r="D7">
        <v>11</v>
      </c>
    </row>
    <row r="8" spans="1:4" x14ac:dyDescent="0.25">
      <c r="A8">
        <v>7</v>
      </c>
      <c r="B8">
        <v>5</v>
      </c>
      <c r="C8">
        <v>9</v>
      </c>
      <c r="D8">
        <v>12</v>
      </c>
    </row>
    <row r="9" spans="1:4" x14ac:dyDescent="0.25">
      <c r="A9">
        <v>8</v>
      </c>
      <c r="B9">
        <v>2</v>
      </c>
      <c r="C9">
        <v>8</v>
      </c>
      <c r="D9">
        <v>13</v>
      </c>
    </row>
    <row r="10" spans="1:4" x14ac:dyDescent="0.25">
      <c r="A10">
        <v>9</v>
      </c>
      <c r="B10">
        <v>3</v>
      </c>
      <c r="C10">
        <v>9</v>
      </c>
      <c r="D10">
        <v>14</v>
      </c>
    </row>
    <row r="11" spans="1:4" x14ac:dyDescent="0.25">
      <c r="A11">
        <v>10</v>
      </c>
      <c r="B11">
        <v>4</v>
      </c>
      <c r="C11">
        <v>8</v>
      </c>
      <c r="D11">
        <v>10</v>
      </c>
    </row>
    <row r="12" spans="1:4" x14ac:dyDescent="0.25">
      <c r="A12">
        <v>11</v>
      </c>
      <c r="B12">
        <v>5</v>
      </c>
      <c r="C12">
        <v>9</v>
      </c>
      <c r="D12">
        <v>11</v>
      </c>
    </row>
    <row r="13" spans="1:4" x14ac:dyDescent="0.25">
      <c r="A13">
        <v>12</v>
      </c>
      <c r="B13">
        <v>2</v>
      </c>
      <c r="C13">
        <v>8</v>
      </c>
      <c r="D13">
        <v>12</v>
      </c>
    </row>
    <row r="14" spans="1:4" x14ac:dyDescent="0.25">
      <c r="A14">
        <v>13</v>
      </c>
      <c r="B14">
        <v>3</v>
      </c>
      <c r="C14">
        <v>9</v>
      </c>
      <c r="D14">
        <v>13</v>
      </c>
    </row>
    <row r="15" spans="1:4" x14ac:dyDescent="0.25">
      <c r="A15">
        <v>14</v>
      </c>
      <c r="B15">
        <v>4</v>
      </c>
      <c r="C15">
        <v>8</v>
      </c>
      <c r="D15">
        <v>14</v>
      </c>
    </row>
    <row r="16" spans="1:4" x14ac:dyDescent="0.25">
      <c r="A16">
        <v>15</v>
      </c>
      <c r="B16">
        <v>5</v>
      </c>
      <c r="C16">
        <v>9</v>
      </c>
      <c r="D16">
        <v>10</v>
      </c>
    </row>
    <row r="18" spans="2:4" x14ac:dyDescent="0.25">
      <c r="B18" t="s">
        <v>12</v>
      </c>
      <c r="C18" t="s">
        <v>13</v>
      </c>
      <c r="D18"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Slot_x_Terms</vt:lpstr>
      <vt:lpstr>Chassis</vt:lpstr>
      <vt:lpstr>Switch_x</vt:lpstr>
      <vt:lpstr>Slot 3</vt:lpstr>
      <vt:lpstr>Slot 4</vt:lpstr>
      <vt:lpstr>Slot 5</vt:lpstr>
      <vt:lpstr>Slot 6</vt:lpstr>
      <vt:lpstr>Slot 7</vt:lpstr>
      <vt:lpstr>Slot 8</vt:lpstr>
      <vt:lpstr>FCxx-64</vt:lpstr>
      <vt:lpstr>SX-6</vt:lpstr>
      <vt:lpstr>lists</vt:lpstr>
      <vt:lpstr>VC</vt:lpstr>
    </vt:vector>
  </TitlesOfParts>
  <Company>Brocade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jack_consoli@yahoo.com</dc:creator>
  <cp:lastModifiedBy>Jack Consoli</cp:lastModifiedBy>
  <cp:lastPrinted>2014-12-01T02:53:04Z</cp:lastPrinted>
  <dcterms:created xsi:type="dcterms:W3CDTF">2011-04-05T19:54:14Z</dcterms:created>
  <dcterms:modified xsi:type="dcterms:W3CDTF">2026-08-02T16:53:38Z</dcterms:modified>
</cp:coreProperties>
</file>