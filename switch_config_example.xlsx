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Jack Consoli\Documents\cs\scripts\brocade-rest-api-applications\templates\"/>
    </mc:Choice>
  </mc:AlternateContent>
  <xr:revisionPtr revIDLastSave="0" documentId="13_ncr:1_{75E05DC2-391C-4713-AB7D-3C0109AE62B5}" xr6:coauthVersionLast="47" xr6:coauthVersionMax="47" xr10:uidLastSave="{00000000-0000-0000-0000-000000000000}"/>
  <bookViews>
    <workbookView xWindow="1485" yWindow="930" windowWidth="19005" windowHeight="10590" tabRatio="664" firstSheet="2" activeTab="8" xr2:uid="{00000000-000D-0000-FFFF-FFFF00000000}"/>
  </bookViews>
  <sheets>
    <sheet name="Example" sheetId="62" r:id="rId1"/>
    <sheet name="Instructions" sheetId="52" r:id="rId2"/>
    <sheet name="Slot_x_Terms" sheetId="56" r:id="rId3"/>
    <sheet name="Chassis" sheetId="54" r:id="rId4"/>
    <sheet name="Switch_128" sheetId="57" r:id="rId5"/>
    <sheet name="Switch_Open" sheetId="53" r:id="rId6"/>
    <sheet name="Switch_FICON" sheetId="58" r:id="rId7"/>
    <sheet name="Switch_base" sheetId="59" r:id="rId8"/>
    <sheet name="Slot 0" sheetId="50" r:id="rId9"/>
    <sheet name="lists" sheetId="48" state="hidden" r:id="rId10"/>
    <sheet name="VC" sheetId="22" state="hidden" r:id="rId11"/>
  </sheets>
  <calcPr calcId="181029"/>
</workbook>
</file>

<file path=xl/calcChain.xml><?xml version="1.0" encoding="utf-8"?>
<calcChain xmlns="http://schemas.openxmlformats.org/spreadsheetml/2006/main">
  <c r="M110" i="50" l="1"/>
  <c r="M111" i="50"/>
  <c r="M112" i="50"/>
  <c r="M113" i="50"/>
  <c r="M114" i="50"/>
  <c r="M115" i="50"/>
  <c r="M116" i="50"/>
  <c r="M117" i="50"/>
  <c r="M118" i="50"/>
  <c r="M119" i="50"/>
  <c r="M120" i="50"/>
  <c r="M121" i="50"/>
  <c r="M130" i="50"/>
  <c r="M131" i="50"/>
  <c r="C131" i="50"/>
  <c r="C129" i="50"/>
  <c r="G131" i="50"/>
  <c r="G129" i="50"/>
  <c r="C109" i="50"/>
  <c r="C121" i="50"/>
  <c r="G109" i="50"/>
  <c r="G121" i="50"/>
  <c r="D130" i="50" l="1"/>
  <c r="D129" i="50" s="1"/>
  <c r="D128" i="50" s="1"/>
  <c r="D127" i="50" s="1"/>
  <c r="D126" i="50" s="1"/>
  <c r="D125" i="50" s="1"/>
  <c r="D124" i="50" s="1"/>
  <c r="D123" i="50" s="1"/>
  <c r="D122" i="50" s="1"/>
  <c r="D121" i="50" s="1"/>
  <c r="D120" i="50" s="1"/>
  <c r="D119" i="50" s="1"/>
  <c r="D118" i="50" s="1"/>
  <c r="D117" i="50" s="1"/>
  <c r="D116" i="50" s="1"/>
  <c r="D115" i="50" s="1"/>
  <c r="D114" i="50" s="1"/>
  <c r="D113" i="50" s="1"/>
  <c r="D112" i="50" s="1"/>
  <c r="D111" i="50" s="1"/>
  <c r="D110" i="50" s="1"/>
  <c r="D109" i="50" s="1"/>
  <c r="D108" i="50" s="1"/>
  <c r="D107" i="50" s="1"/>
  <c r="D106" i="50" s="1"/>
  <c r="D105" i="50" s="1"/>
  <c r="D104" i="50" s="1"/>
  <c r="D103" i="50" s="1"/>
  <c r="D102" i="50" s="1"/>
  <c r="D101" i="50" s="1"/>
  <c r="D100" i="50" s="1"/>
  <c r="D99" i="50" s="1"/>
  <c r="D98" i="50" s="1"/>
  <c r="D97" i="50" s="1"/>
  <c r="D96" i="50" s="1"/>
  <c r="D95" i="50" s="1"/>
  <c r="D94" i="50" s="1"/>
  <c r="D93" i="50" s="1"/>
  <c r="D92" i="50" s="1"/>
  <c r="D91" i="50" s="1"/>
  <c r="D90" i="50" s="1"/>
  <c r="D89" i="50" s="1"/>
  <c r="D88" i="50" s="1"/>
  <c r="D87" i="50" s="1"/>
  <c r="D86" i="50" s="1"/>
  <c r="D85" i="50" s="1"/>
  <c r="D84" i="50" s="1"/>
  <c r="D83" i="50" s="1"/>
  <c r="D82" i="50" s="1"/>
  <c r="D81" i="50" s="1"/>
  <c r="D80" i="50" s="1"/>
  <c r="D79" i="50" s="1"/>
  <c r="D78" i="50" s="1"/>
  <c r="D77" i="50" s="1"/>
  <c r="D76" i="50" s="1"/>
  <c r="D75" i="50" s="1"/>
  <c r="D74" i="50" s="1"/>
  <c r="D73" i="50" s="1"/>
  <c r="D72" i="50" s="1"/>
  <c r="D71" i="50" s="1"/>
  <c r="D70" i="50" s="1"/>
  <c r="D69" i="50" s="1"/>
  <c r="D68" i="50" s="1"/>
  <c r="D67" i="50" s="1"/>
  <c r="D66" i="50" s="1"/>
  <c r="D65" i="50" s="1"/>
  <c r="D64" i="50" s="1"/>
  <c r="D63" i="50" s="1"/>
  <c r="D62" i="50" s="1"/>
  <c r="D61" i="50" s="1"/>
  <c r="D60" i="50" s="1"/>
  <c r="D59" i="50" s="1"/>
  <c r="D58" i="50" s="1"/>
  <c r="D57" i="50" s="1"/>
  <c r="D56" i="50" s="1"/>
  <c r="D55" i="50" s="1"/>
  <c r="D54" i="50" s="1"/>
  <c r="D53" i="50" s="1"/>
  <c r="D52" i="50" s="1"/>
  <c r="D51" i="50" s="1"/>
  <c r="D50" i="50" s="1"/>
  <c r="D49" i="50" s="1"/>
  <c r="D48" i="50" s="1"/>
  <c r="D47" i="50" s="1"/>
  <c r="D46" i="50" s="1"/>
  <c r="D45" i="50" s="1"/>
  <c r="D44" i="50" s="1"/>
  <c r="D43" i="50" s="1"/>
  <c r="D42" i="50" s="1"/>
  <c r="D41" i="50" s="1"/>
  <c r="D40" i="50" s="1"/>
  <c r="D39" i="50" s="1"/>
  <c r="D38" i="50" s="1"/>
  <c r="D37" i="50" s="1"/>
  <c r="D36" i="50" s="1"/>
  <c r="D35" i="50" s="1"/>
  <c r="D34" i="50" s="1"/>
  <c r="D33" i="50" s="1"/>
  <c r="D32" i="50" s="1"/>
  <c r="D31" i="50" s="1"/>
  <c r="D30" i="50" s="1"/>
  <c r="D29" i="50" s="1"/>
  <c r="D28" i="50" s="1"/>
  <c r="D27" i="50" s="1"/>
  <c r="D26" i="50" s="1"/>
  <c r="D25" i="50" s="1"/>
  <c r="D24" i="50" s="1"/>
  <c r="D23" i="50" s="1"/>
  <c r="D22" i="50" s="1"/>
  <c r="D21" i="50" s="1"/>
  <c r="D20" i="50" s="1"/>
  <c r="D19" i="50" s="1"/>
  <c r="D18" i="50" s="1"/>
  <c r="D17" i="50" s="1"/>
  <c r="D16" i="50" s="1"/>
  <c r="D15" i="50" s="1"/>
  <c r="D14" i="50" s="1"/>
  <c r="D13" i="50" s="1"/>
  <c r="D12" i="50" s="1"/>
  <c r="D11" i="50" s="1"/>
  <c r="D10" i="50" s="1"/>
  <c r="D9" i="50" s="1"/>
  <c r="D8" i="50" s="1"/>
  <c r="D7" i="50" s="1"/>
  <c r="D6" i="50" s="1"/>
  <c r="D5" i="50" s="1"/>
  <c r="D4" i="50" s="1"/>
  <c r="B130" i="50"/>
  <c r="B129" i="50" s="1"/>
  <c r="B128" i="50" s="1"/>
  <c r="B127" i="50" s="1"/>
  <c r="B126" i="50" s="1"/>
  <c r="B125" i="50" s="1"/>
  <c r="B124" i="50" s="1"/>
  <c r="B123" i="50" s="1"/>
  <c r="B122" i="50" s="1"/>
  <c r="B121" i="50" s="1"/>
  <c r="B120" i="50" s="1"/>
  <c r="B119" i="50" s="1"/>
  <c r="B118" i="50" s="1"/>
  <c r="B117" i="50" s="1"/>
  <c r="B116" i="50" s="1"/>
  <c r="B115" i="50" s="1"/>
  <c r="B114" i="50" s="1"/>
  <c r="B113" i="50" s="1"/>
  <c r="B112" i="50" s="1"/>
  <c r="B111" i="50" s="1"/>
  <c r="B110" i="50" s="1"/>
  <c r="B109" i="50" s="1"/>
  <c r="B108" i="50" s="1"/>
  <c r="B107" i="50" s="1"/>
  <c r="B106" i="50" s="1"/>
  <c r="B105" i="50" s="1"/>
  <c r="B104" i="50" s="1"/>
  <c r="B103" i="50" s="1"/>
  <c r="B102" i="50" s="1"/>
  <c r="B101" i="50" s="1"/>
  <c r="B100" i="50" s="1"/>
  <c r="B99" i="50" s="1"/>
  <c r="B98" i="50" s="1"/>
  <c r="B97" i="50" s="1"/>
  <c r="B96" i="50" s="1"/>
  <c r="B95" i="50" s="1"/>
  <c r="B94" i="50" s="1"/>
  <c r="B93" i="50" s="1"/>
  <c r="B92" i="50" s="1"/>
  <c r="B91" i="50" s="1"/>
  <c r="B90" i="50" s="1"/>
  <c r="B89" i="50" s="1"/>
  <c r="B88" i="50" s="1"/>
  <c r="B87" i="50" s="1"/>
  <c r="B86" i="50" s="1"/>
  <c r="B85" i="50" s="1"/>
  <c r="B84" i="50" s="1"/>
  <c r="B83" i="50" s="1"/>
  <c r="B82" i="50" s="1"/>
  <c r="B81" i="50" s="1"/>
  <c r="B80" i="50" s="1"/>
  <c r="B79" i="50" s="1"/>
  <c r="B78" i="50" s="1"/>
  <c r="B77" i="50" s="1"/>
  <c r="B76" i="50" s="1"/>
  <c r="B75" i="50" s="1"/>
  <c r="B74" i="50" s="1"/>
  <c r="B73" i="50" s="1"/>
  <c r="B72" i="50" s="1"/>
  <c r="B71" i="50" s="1"/>
  <c r="B70" i="50" s="1"/>
  <c r="B69" i="50" s="1"/>
  <c r="B68" i="50" s="1"/>
  <c r="B67" i="50" s="1"/>
  <c r="B66" i="50" s="1"/>
  <c r="B65" i="50" s="1"/>
  <c r="B64" i="50" s="1"/>
  <c r="B63" i="50" s="1"/>
  <c r="B62" i="50" s="1"/>
  <c r="B61" i="50" s="1"/>
  <c r="B60" i="50" s="1"/>
  <c r="B59" i="50" s="1"/>
  <c r="B58" i="50" s="1"/>
  <c r="B57" i="50" s="1"/>
  <c r="B56" i="50" s="1"/>
  <c r="B55" i="50" s="1"/>
  <c r="B54" i="50" s="1"/>
  <c r="B53" i="50" s="1"/>
  <c r="B52" i="50" s="1"/>
  <c r="B51" i="50" s="1"/>
  <c r="B50" i="50" s="1"/>
  <c r="B49" i="50" s="1"/>
  <c r="B48" i="50" s="1"/>
  <c r="B47" i="50" s="1"/>
  <c r="B46" i="50" s="1"/>
  <c r="B45" i="50" s="1"/>
  <c r="B44" i="50" s="1"/>
  <c r="B43" i="50" s="1"/>
  <c r="B42" i="50" s="1"/>
  <c r="B41" i="50" s="1"/>
  <c r="B40" i="50" s="1"/>
  <c r="B39" i="50" s="1"/>
  <c r="B38" i="50" s="1"/>
  <c r="B37" i="50" s="1"/>
  <c r="B36" i="50" s="1"/>
  <c r="B35" i="50" s="1"/>
  <c r="B34" i="50" s="1"/>
  <c r="B33" i="50" s="1"/>
  <c r="B32" i="50" s="1"/>
  <c r="B31" i="50" s="1"/>
  <c r="B30" i="50" s="1"/>
  <c r="B29" i="50" s="1"/>
  <c r="B28" i="50" s="1"/>
  <c r="B27" i="50" s="1"/>
  <c r="B26" i="50" s="1"/>
  <c r="B25" i="50" s="1"/>
  <c r="B24" i="50" s="1"/>
  <c r="B23" i="50" s="1"/>
  <c r="B22" i="50" s="1"/>
  <c r="B21" i="50" s="1"/>
  <c r="B20" i="50" s="1"/>
  <c r="B19" i="50" s="1"/>
  <c r="B18" i="50" s="1"/>
  <c r="B17" i="50" s="1"/>
  <c r="B16" i="50" s="1"/>
  <c r="B15" i="50" s="1"/>
  <c r="B14" i="50" s="1"/>
  <c r="B13" i="50" s="1"/>
  <c r="B12" i="50" s="1"/>
  <c r="B11" i="50" s="1"/>
  <c r="B10" i="50" s="1"/>
  <c r="B9" i="50" s="1"/>
  <c r="B8" i="50" s="1"/>
  <c r="B7" i="50" s="1"/>
  <c r="B6" i="50" s="1"/>
  <c r="B5" i="50" s="1"/>
  <c r="B4" i="50" s="1"/>
  <c r="C130" i="50" l="1"/>
  <c r="C128" i="50" s="1"/>
  <c r="C127" i="50" s="1"/>
  <c r="C126" i="50" s="1"/>
  <c r="C125" i="50" s="1"/>
  <c r="C124" i="50" s="1"/>
  <c r="C123" i="50" s="1"/>
  <c r="C122" i="50" s="1"/>
  <c r="C120" i="50" s="1"/>
  <c r="C119" i="50" s="1"/>
  <c r="C118" i="50" s="1"/>
  <c r="C117" i="50" s="1"/>
  <c r="C116" i="50" s="1"/>
  <c r="C115" i="50" s="1"/>
  <c r="C114" i="50" s="1"/>
  <c r="C113" i="50" s="1"/>
  <c r="C112" i="50" s="1"/>
  <c r="C111" i="50" s="1"/>
  <c r="C110" i="50" s="1"/>
  <c r="C108" i="50" s="1"/>
  <c r="C107" i="50" s="1"/>
  <c r="C106" i="50" s="1"/>
  <c r="C105" i="50" s="1"/>
  <c r="C104" i="50" s="1"/>
  <c r="C103" i="50" s="1"/>
  <c r="C102" i="50" s="1"/>
  <c r="C101" i="50" s="1"/>
  <c r="C100" i="50" s="1"/>
  <c r="C99" i="50" s="1"/>
  <c r="C98" i="50" s="1"/>
  <c r="C97" i="50" s="1"/>
  <c r="C96" i="50" s="1"/>
  <c r="C95" i="50" s="1"/>
  <c r="C94" i="50" s="1"/>
  <c r="C93" i="50" s="1"/>
  <c r="C92" i="50" s="1"/>
  <c r="C91" i="50" s="1"/>
  <c r="C90" i="50" s="1"/>
  <c r="C89" i="50" s="1"/>
  <c r="C88" i="50" s="1"/>
  <c r="C87" i="50" s="1"/>
  <c r="C86" i="50" s="1"/>
  <c r="C85" i="50" s="1"/>
  <c r="C84" i="50" s="1"/>
  <c r="C83" i="50" s="1"/>
  <c r="C82" i="50" s="1"/>
  <c r="C81" i="50" s="1"/>
  <c r="C80" i="50" s="1"/>
  <c r="C79" i="50" s="1"/>
  <c r="C78" i="50" s="1"/>
  <c r="C77" i="50" s="1"/>
  <c r="C76" i="50" s="1"/>
  <c r="C75" i="50" s="1"/>
  <c r="C74" i="50" s="1"/>
  <c r="C73" i="50" s="1"/>
  <c r="C72" i="50" s="1"/>
  <c r="C71" i="50" s="1"/>
  <c r="C70" i="50" s="1"/>
  <c r="C69" i="50" s="1"/>
  <c r="C68" i="50" s="1"/>
  <c r="C67" i="50" s="1"/>
  <c r="C66" i="50" s="1"/>
  <c r="C65" i="50" s="1"/>
  <c r="C64" i="50" s="1"/>
  <c r="C63" i="50" s="1"/>
  <c r="C62" i="50" s="1"/>
  <c r="C61" i="50" s="1"/>
  <c r="C60" i="50" s="1"/>
  <c r="C59" i="50" s="1"/>
  <c r="C58" i="50" s="1"/>
  <c r="C57" i="50" s="1"/>
  <c r="C56" i="50" s="1"/>
  <c r="C55" i="50" s="1"/>
  <c r="C54" i="50" s="1"/>
  <c r="C53" i="50" s="1"/>
  <c r="C52" i="50" s="1"/>
  <c r="C51" i="50" s="1"/>
  <c r="C50" i="50" s="1"/>
  <c r="C49" i="50" s="1"/>
  <c r="C48" i="50" s="1"/>
  <c r="C47" i="50" s="1"/>
  <c r="C46" i="50" s="1"/>
  <c r="C45" i="50" s="1"/>
  <c r="C44" i="50" s="1"/>
  <c r="C43" i="50" s="1"/>
  <c r="C42" i="50" s="1"/>
  <c r="C41" i="50" s="1"/>
  <c r="C40" i="50" s="1"/>
  <c r="C39" i="50" s="1"/>
  <c r="C38" i="50" s="1"/>
  <c r="C37" i="50" s="1"/>
  <c r="C36" i="50" s="1"/>
  <c r="C35" i="50" s="1"/>
  <c r="C34" i="50" s="1"/>
  <c r="C33" i="50" s="1"/>
  <c r="C32" i="50" s="1"/>
  <c r="C31" i="50" s="1"/>
  <c r="C30" i="50" s="1"/>
  <c r="C29" i="50" s="1"/>
  <c r="C28" i="50" s="1"/>
  <c r="C27" i="50" s="1"/>
  <c r="C26" i="50" s="1"/>
  <c r="C25" i="50" s="1"/>
  <c r="C24" i="50" s="1"/>
  <c r="C23" i="50" s="1"/>
  <c r="C22" i="50" s="1"/>
  <c r="C21" i="50" s="1"/>
  <c r="C20" i="50" s="1"/>
  <c r="C19" i="50" s="1"/>
  <c r="C18" i="50" s="1"/>
  <c r="C17" i="50" s="1"/>
  <c r="C16" i="50" s="1"/>
  <c r="C15" i="50" s="1"/>
  <c r="C14" i="50" s="1"/>
  <c r="C13" i="50" s="1"/>
  <c r="C12" i="50" s="1"/>
  <c r="C11" i="50" s="1"/>
  <c r="C10" i="50" s="1"/>
  <c r="C9" i="50" s="1"/>
  <c r="C8" i="50" s="1"/>
  <c r="C7" i="50" s="1"/>
  <c r="C6" i="50" s="1"/>
  <c r="C5" i="50" s="1"/>
  <c r="C4" i="50" s="1"/>
  <c r="G130" i="50"/>
  <c r="G128" i="50" s="1"/>
  <c r="G127" i="50" s="1"/>
  <c r="G126" i="50" s="1"/>
  <c r="G125" i="50" s="1"/>
  <c r="G124" i="50" s="1"/>
  <c r="G123" i="50" s="1"/>
  <c r="G122" i="50" s="1"/>
  <c r="G120" i="50" s="1"/>
  <c r="G119" i="50" s="1"/>
  <c r="G118" i="50" s="1"/>
  <c r="G117" i="50" s="1"/>
  <c r="G116" i="50" s="1"/>
  <c r="G115" i="50" s="1"/>
  <c r="G114" i="50" s="1"/>
  <c r="G113" i="50" s="1"/>
  <c r="G112" i="50" s="1"/>
  <c r="G111" i="50" s="1"/>
  <c r="G110" i="50" s="1"/>
  <c r="G108" i="50" s="1"/>
  <c r="G107" i="50" s="1"/>
  <c r="G106" i="50" s="1"/>
  <c r="G105" i="50" s="1"/>
  <c r="G104" i="50" s="1"/>
  <c r="G103" i="50" s="1"/>
  <c r="G102" i="50" s="1"/>
  <c r="G101" i="50" s="1"/>
  <c r="G100" i="50" s="1"/>
  <c r="G99" i="50" s="1"/>
  <c r="G98" i="50" s="1"/>
  <c r="G97" i="50" s="1"/>
  <c r="G96" i="50" s="1"/>
  <c r="G95" i="50" s="1"/>
  <c r="G94" i="50" s="1"/>
  <c r="G93" i="50" s="1"/>
  <c r="G92" i="50" s="1"/>
  <c r="G91" i="50" s="1"/>
  <c r="G90" i="50" s="1"/>
  <c r="G89" i="50" s="1"/>
  <c r="G88" i="50" s="1"/>
  <c r="G87" i="50" s="1"/>
  <c r="G86" i="50" s="1"/>
  <c r="G85" i="50" s="1"/>
  <c r="G84" i="50" s="1"/>
  <c r="G83" i="50" s="1"/>
  <c r="G82" i="50" s="1"/>
  <c r="G81" i="50" s="1"/>
  <c r="G80" i="50" s="1"/>
  <c r="G79" i="50" s="1"/>
  <c r="G78" i="50" s="1"/>
  <c r="G77" i="50" s="1"/>
  <c r="G76" i="50" s="1"/>
  <c r="G75" i="50" s="1"/>
  <c r="G74" i="50" s="1"/>
  <c r="G73" i="50" s="1"/>
  <c r="G72" i="50" s="1"/>
  <c r="G71" i="50" s="1"/>
  <c r="G70" i="50" s="1"/>
  <c r="G69" i="50" s="1"/>
  <c r="G68" i="50" s="1"/>
  <c r="E4" i="50" l="1"/>
  <c r="E5" i="50" l="1"/>
  <c r="F4" i="50"/>
  <c r="F5" i="50" l="1"/>
  <c r="P5" i="50" s="1"/>
  <c r="E6" i="50"/>
  <c r="P4" i="50"/>
  <c r="O4" i="50"/>
  <c r="N4" i="50"/>
  <c r="N5" i="50" l="1"/>
  <c r="O5" i="50"/>
  <c r="E7" i="50"/>
  <c r="F6" i="50"/>
  <c r="E8" i="50" l="1"/>
  <c r="P6" i="50"/>
  <c r="O6" i="50"/>
  <c r="N6" i="50"/>
  <c r="F7" i="50"/>
  <c r="B3" i="48"/>
  <c r="B4" i="48" s="1"/>
  <c r="B5" i="48" s="1"/>
  <c r="B6" i="48" s="1"/>
  <c r="B7" i="48" s="1"/>
  <c r="B8" i="48" s="1"/>
  <c r="B9" i="48" s="1"/>
  <c r="B10" i="48" s="1"/>
  <c r="B11" i="48" s="1"/>
  <c r="B12" i="48" s="1"/>
  <c r="B13" i="48" s="1"/>
  <c r="B14" i="48" s="1"/>
  <c r="B15" i="48" s="1"/>
  <c r="B16" i="48" s="1"/>
  <c r="B17" i="48" s="1"/>
  <c r="B18" i="48" s="1"/>
  <c r="B19" i="48" s="1"/>
  <c r="B20" i="48" s="1"/>
  <c r="B21" i="48" s="1"/>
  <c r="B22" i="48" s="1"/>
  <c r="B23" i="48" s="1"/>
  <c r="B24" i="48" s="1"/>
  <c r="B25" i="48" s="1"/>
  <c r="B26" i="48" s="1"/>
  <c r="B27" i="48" s="1"/>
  <c r="B28" i="48" s="1"/>
  <c r="B29" i="48" s="1"/>
  <c r="B30" i="48" s="1"/>
  <c r="B31" i="48" s="1"/>
  <c r="B32" i="48" s="1"/>
  <c r="B33" i="48" s="1"/>
  <c r="B34" i="48" s="1"/>
  <c r="B35" i="48" s="1"/>
  <c r="B36" i="48" s="1"/>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67" i="48" s="1"/>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E9" i="50" l="1"/>
  <c r="F8" i="50"/>
  <c r="P7" i="50"/>
  <c r="O7" i="50"/>
  <c r="N7" i="50"/>
  <c r="E10" i="50" l="1"/>
  <c r="P8" i="50"/>
  <c r="O8" i="50"/>
  <c r="N8" i="50"/>
  <c r="F9" i="50"/>
  <c r="E11" i="50" l="1"/>
  <c r="F10" i="50"/>
  <c r="P9" i="50"/>
  <c r="O9" i="50"/>
  <c r="N9" i="50"/>
  <c r="E12" i="50" l="1"/>
  <c r="F11" i="50"/>
  <c r="P10" i="50"/>
  <c r="O10" i="50"/>
  <c r="N10" i="50"/>
  <c r="E13" i="50" l="1"/>
  <c r="P11" i="50"/>
  <c r="O11" i="50"/>
  <c r="N11" i="50"/>
  <c r="F12" i="50"/>
  <c r="E14" i="50" l="1"/>
  <c r="F13" i="50"/>
  <c r="P12" i="50"/>
  <c r="O12" i="50"/>
  <c r="N12" i="50"/>
  <c r="E15" i="50" l="1"/>
  <c r="F14" i="50"/>
  <c r="P13" i="50"/>
  <c r="O13" i="50"/>
  <c r="N13" i="50"/>
  <c r="E16" i="50" l="1"/>
  <c r="P14" i="50"/>
  <c r="O14" i="50"/>
  <c r="N14" i="50"/>
  <c r="F15" i="50"/>
  <c r="E17" i="50" l="1"/>
  <c r="P15" i="50"/>
  <c r="O15" i="50"/>
  <c r="N15" i="50"/>
  <c r="F16" i="50"/>
  <c r="E18" i="50" l="1"/>
  <c r="F17" i="50"/>
  <c r="P16" i="50"/>
  <c r="O16" i="50"/>
  <c r="N16" i="50"/>
  <c r="E19" i="50" l="1"/>
  <c r="P17" i="50"/>
  <c r="O17" i="50"/>
  <c r="N17" i="50"/>
  <c r="F18" i="50"/>
  <c r="E20" i="50" l="1"/>
  <c r="F19" i="50"/>
  <c r="P18" i="50"/>
  <c r="O18" i="50"/>
  <c r="N18" i="50"/>
  <c r="E21" i="50" l="1"/>
  <c r="P19" i="50"/>
  <c r="O19" i="50"/>
  <c r="N19" i="50"/>
  <c r="F20" i="50"/>
  <c r="E22" i="50" l="1"/>
  <c r="F21" i="50"/>
  <c r="P20" i="50"/>
  <c r="O20" i="50"/>
  <c r="N20" i="50"/>
  <c r="E23" i="50" l="1"/>
  <c r="P21" i="50"/>
  <c r="O21" i="50"/>
  <c r="N21" i="50"/>
  <c r="F22" i="50"/>
  <c r="E24" i="50" l="1"/>
  <c r="P22" i="50"/>
  <c r="O22" i="50"/>
  <c r="N22" i="50"/>
  <c r="F23" i="50"/>
  <c r="E25" i="50" l="1"/>
  <c r="F24" i="50"/>
  <c r="P23" i="50"/>
  <c r="O23" i="50"/>
  <c r="N23" i="50"/>
  <c r="E26" i="50" l="1"/>
  <c r="F25" i="50"/>
  <c r="P24" i="50"/>
  <c r="O24" i="50"/>
  <c r="N24" i="50"/>
  <c r="E27" i="50" l="1"/>
  <c r="P25" i="50"/>
  <c r="O25" i="50"/>
  <c r="N25" i="50"/>
  <c r="F26" i="50"/>
  <c r="E28" i="50" l="1"/>
  <c r="P26" i="50"/>
  <c r="O26" i="50"/>
  <c r="N26" i="50"/>
  <c r="F27" i="50"/>
  <c r="E29" i="50" l="1"/>
  <c r="F28" i="50"/>
  <c r="N27" i="50"/>
  <c r="P27" i="50"/>
  <c r="O27" i="50"/>
  <c r="E30" i="50" l="1"/>
  <c r="F29" i="50"/>
  <c r="O28" i="50"/>
  <c r="P28" i="50"/>
  <c r="N28" i="50"/>
  <c r="E31" i="50" l="1"/>
  <c r="P29" i="50"/>
  <c r="O29" i="50"/>
  <c r="N29" i="50"/>
  <c r="F30" i="50"/>
  <c r="E32" i="50" l="1"/>
  <c r="F31" i="50"/>
  <c r="P30" i="50"/>
  <c r="O30" i="50"/>
  <c r="N30" i="50"/>
  <c r="E33" i="50" l="1"/>
  <c r="F32" i="50"/>
  <c r="N31" i="50"/>
  <c r="P31" i="50"/>
  <c r="O31" i="50"/>
  <c r="E34" i="50" l="1"/>
  <c r="O32" i="50"/>
  <c r="N32" i="50"/>
  <c r="P32" i="50"/>
  <c r="F33" i="50"/>
  <c r="E35" i="50" l="1"/>
  <c r="F34" i="50"/>
  <c r="P33" i="50"/>
  <c r="O33" i="50"/>
  <c r="N33" i="50"/>
  <c r="E36" i="50" l="1"/>
  <c r="P34" i="50"/>
  <c r="O34" i="50"/>
  <c r="N34" i="50"/>
  <c r="F35" i="50"/>
  <c r="E37" i="50" l="1"/>
  <c r="O35" i="50"/>
  <c r="N35" i="50"/>
  <c r="P35" i="50"/>
  <c r="F36" i="50"/>
  <c r="E38" i="50" l="1"/>
  <c r="P36" i="50"/>
  <c r="N36" i="50"/>
  <c r="O36" i="50"/>
  <c r="F37" i="50"/>
  <c r="E39" i="50" l="1"/>
  <c r="F38" i="50"/>
  <c r="N37" i="50"/>
  <c r="O37" i="50"/>
  <c r="P37" i="50"/>
  <c r="E40" i="50" l="1"/>
  <c r="P38" i="50"/>
  <c r="O38" i="50"/>
  <c r="N38" i="50"/>
  <c r="F39" i="50"/>
  <c r="E41" i="50" l="1"/>
  <c r="F40" i="50"/>
  <c r="O39" i="50"/>
  <c r="P39" i="50"/>
  <c r="N39" i="50"/>
  <c r="E42" i="50" l="1"/>
  <c r="N40" i="50"/>
  <c r="P40" i="50"/>
  <c r="O40" i="50"/>
  <c r="F41" i="50"/>
  <c r="E43" i="50" l="1"/>
  <c r="F42" i="50"/>
  <c r="P41" i="50"/>
  <c r="O41" i="50"/>
  <c r="N41" i="50"/>
  <c r="E44" i="50" l="1"/>
  <c r="F43" i="50"/>
  <c r="P42" i="50"/>
  <c r="O42" i="50"/>
  <c r="N42" i="50"/>
  <c r="E45" i="50" l="1"/>
  <c r="O43" i="50"/>
  <c r="N43" i="50"/>
  <c r="P43" i="50"/>
  <c r="F44" i="50"/>
  <c r="E46" i="50" l="1"/>
  <c r="P44" i="50"/>
  <c r="O44" i="50"/>
  <c r="N44" i="50"/>
  <c r="F45" i="50"/>
  <c r="E47" i="50" l="1"/>
  <c r="O45" i="50"/>
  <c r="N45" i="50"/>
  <c r="P45" i="50"/>
  <c r="F46" i="50"/>
  <c r="E48" i="50" l="1"/>
  <c r="P46" i="50"/>
  <c r="O46" i="50"/>
  <c r="N46" i="50"/>
  <c r="F47" i="50"/>
  <c r="E49" i="50" l="1"/>
  <c r="F48" i="50"/>
  <c r="O47" i="50"/>
  <c r="P47" i="50"/>
  <c r="N47" i="50"/>
  <c r="E50" i="50" l="1"/>
  <c r="O48" i="50"/>
  <c r="N48" i="50"/>
  <c r="P48" i="50"/>
  <c r="F49" i="50"/>
  <c r="E51" i="50" l="1"/>
  <c r="F50" i="50"/>
  <c r="O49" i="50"/>
  <c r="P49" i="50"/>
  <c r="N49" i="50"/>
  <c r="E52" i="50" l="1"/>
  <c r="F51" i="50"/>
  <c r="O50" i="50"/>
  <c r="N50" i="50"/>
  <c r="P50" i="50"/>
  <c r="E53" i="50" l="1"/>
  <c r="O51" i="50"/>
  <c r="P51" i="50"/>
  <c r="N51" i="50"/>
  <c r="F52" i="50"/>
  <c r="E54" i="50" l="1"/>
  <c r="O52" i="50"/>
  <c r="P52" i="50"/>
  <c r="N52" i="50"/>
  <c r="F53" i="50"/>
  <c r="E55" i="50" l="1"/>
  <c r="F54" i="50"/>
  <c r="O53" i="50"/>
  <c r="P53" i="50"/>
  <c r="N53" i="50"/>
  <c r="E56" i="50" l="1"/>
  <c r="O54" i="50"/>
  <c r="P54" i="50"/>
  <c r="N54" i="50"/>
  <c r="F55" i="50"/>
  <c r="E57" i="50" l="1"/>
  <c r="O55" i="50"/>
  <c r="P55" i="50"/>
  <c r="N55" i="50"/>
  <c r="F56" i="50"/>
  <c r="E58" i="50" l="1"/>
  <c r="F57" i="50"/>
  <c r="O56" i="50"/>
  <c r="N56" i="50"/>
  <c r="P56" i="50"/>
  <c r="E59" i="50" l="1"/>
  <c r="F58" i="50"/>
  <c r="O57" i="50"/>
  <c r="P57" i="50"/>
  <c r="N57" i="50"/>
  <c r="E60" i="50" l="1"/>
  <c r="O58" i="50"/>
  <c r="N58" i="50"/>
  <c r="P58" i="50"/>
  <c r="F59" i="50"/>
  <c r="E61" i="50" l="1"/>
  <c r="F60" i="50"/>
  <c r="O59" i="50"/>
  <c r="P59" i="50"/>
  <c r="N59" i="50"/>
  <c r="E62" i="50" l="1"/>
  <c r="O60" i="50"/>
  <c r="N60" i="50"/>
  <c r="P60" i="50"/>
  <c r="F61" i="50"/>
  <c r="E63" i="50" l="1"/>
  <c r="F62" i="50"/>
  <c r="O61" i="50"/>
  <c r="P61" i="50"/>
  <c r="N61" i="50"/>
  <c r="E64" i="50" l="1"/>
  <c r="O62" i="50"/>
  <c r="P62" i="50"/>
  <c r="N62" i="50"/>
  <c r="F63" i="50"/>
  <c r="E65" i="50" l="1"/>
  <c r="F64" i="50"/>
  <c r="O63" i="50"/>
  <c r="P63" i="50"/>
  <c r="N63" i="50"/>
  <c r="E66" i="50" l="1"/>
  <c r="O64" i="50"/>
  <c r="P64" i="50"/>
  <c r="N64" i="50"/>
  <c r="F65" i="50"/>
  <c r="E67" i="50" l="1"/>
  <c r="O65" i="50"/>
  <c r="P65" i="50"/>
  <c r="N65" i="50"/>
  <c r="F66" i="50"/>
  <c r="E68" i="50" l="1"/>
  <c r="F67" i="50"/>
  <c r="O66" i="50"/>
  <c r="P66" i="50"/>
  <c r="N66" i="50"/>
  <c r="E69" i="50" l="1"/>
  <c r="O67" i="50"/>
  <c r="P67" i="50"/>
  <c r="N67" i="50"/>
  <c r="F68" i="50"/>
  <c r="E70" i="50" l="1"/>
  <c r="F69" i="50"/>
  <c r="O68" i="50"/>
  <c r="N68" i="50"/>
  <c r="P68" i="50"/>
  <c r="E71" i="50" l="1"/>
  <c r="F70" i="50"/>
  <c r="O69" i="50"/>
  <c r="P69" i="50"/>
  <c r="N69" i="50"/>
  <c r="E72" i="50" l="1"/>
  <c r="O70" i="50"/>
  <c r="P70" i="50"/>
  <c r="N70" i="50"/>
  <c r="F71" i="50"/>
  <c r="E73" i="50" l="1"/>
  <c r="O71" i="50"/>
  <c r="P71" i="50"/>
  <c r="N71" i="50"/>
  <c r="F72" i="50"/>
  <c r="E74" i="50" l="1"/>
  <c r="F73" i="50"/>
  <c r="O72" i="50"/>
  <c r="P72" i="50"/>
  <c r="N72" i="50"/>
  <c r="E75" i="50" l="1"/>
  <c r="F74" i="50"/>
  <c r="O73" i="50"/>
  <c r="P73" i="50"/>
  <c r="N73" i="50"/>
  <c r="E76" i="50" l="1"/>
  <c r="O74" i="50"/>
  <c r="P74" i="50"/>
  <c r="N74" i="50"/>
  <c r="F75" i="50"/>
  <c r="E77" i="50" l="1"/>
  <c r="F76" i="50"/>
  <c r="O75" i="50"/>
  <c r="P75" i="50"/>
  <c r="N75" i="50"/>
  <c r="E78" i="50" l="1"/>
  <c r="O76" i="50"/>
  <c r="N76" i="50"/>
  <c r="P76" i="50"/>
  <c r="F77" i="50"/>
  <c r="E79" i="50" l="1"/>
  <c r="O77" i="50"/>
  <c r="P77" i="50"/>
  <c r="N77" i="50"/>
  <c r="F78" i="50"/>
  <c r="O78" i="50" s="1"/>
  <c r="E80" i="50" l="1"/>
  <c r="F79" i="50"/>
  <c r="P78" i="50"/>
  <c r="N78" i="50"/>
  <c r="E81" i="50" l="1"/>
  <c r="O79" i="50"/>
  <c r="P79" i="50"/>
  <c r="N79" i="50"/>
  <c r="F80" i="50"/>
  <c r="E82" i="50" l="1"/>
  <c r="F81" i="50"/>
  <c r="O80" i="50"/>
  <c r="N80" i="50"/>
  <c r="P80" i="50"/>
  <c r="E83" i="50" l="1"/>
  <c r="F82" i="50"/>
  <c r="O81" i="50"/>
  <c r="P81" i="50"/>
  <c r="N81" i="50"/>
  <c r="E84" i="50" l="1"/>
  <c r="F83" i="50"/>
  <c r="O82" i="50"/>
  <c r="P82" i="50"/>
  <c r="N82" i="50"/>
  <c r="E85" i="50" l="1"/>
  <c r="O83" i="50"/>
  <c r="P83" i="50"/>
  <c r="N83" i="50"/>
  <c r="F84" i="50"/>
  <c r="E86" i="50" l="1"/>
  <c r="F85" i="50"/>
  <c r="O84" i="50"/>
  <c r="N84" i="50"/>
  <c r="P84" i="50"/>
  <c r="E87" i="50" l="1"/>
  <c r="F86" i="50"/>
  <c r="O85" i="50"/>
  <c r="P85" i="50"/>
  <c r="N85" i="50"/>
  <c r="E88" i="50" l="1"/>
  <c r="F87" i="50"/>
  <c r="O86" i="50"/>
  <c r="P86" i="50"/>
  <c r="N86" i="50"/>
  <c r="E89" i="50" l="1"/>
  <c r="O87" i="50"/>
  <c r="P87" i="50"/>
  <c r="N87" i="50"/>
  <c r="F88" i="50"/>
  <c r="E90" i="50" l="1"/>
  <c r="F89" i="50"/>
  <c r="O88" i="50"/>
  <c r="P88" i="50"/>
  <c r="N88" i="50"/>
  <c r="E91" i="50" l="1"/>
  <c r="F90" i="50"/>
  <c r="O89" i="50"/>
  <c r="P89" i="50"/>
  <c r="N89" i="50"/>
  <c r="E92" i="50" l="1"/>
  <c r="F91" i="50"/>
  <c r="O90" i="50"/>
  <c r="P90" i="50"/>
  <c r="N90" i="50"/>
  <c r="E93" i="50" l="1"/>
  <c r="O91" i="50"/>
  <c r="P91" i="50"/>
  <c r="N91" i="50"/>
  <c r="F92" i="50"/>
  <c r="E94" i="50" l="1"/>
  <c r="F93" i="50"/>
  <c r="O92" i="50"/>
  <c r="P92" i="50"/>
  <c r="N92" i="50"/>
  <c r="E95" i="50" l="1"/>
  <c r="F94" i="50"/>
  <c r="O93" i="50"/>
  <c r="P93" i="50"/>
  <c r="N93" i="50"/>
  <c r="E96" i="50" l="1"/>
  <c r="F95" i="50"/>
  <c r="O94" i="50"/>
  <c r="P94" i="50"/>
  <c r="N94" i="50"/>
  <c r="E97" i="50" l="1"/>
  <c r="O95" i="50"/>
  <c r="P95" i="50"/>
  <c r="N95" i="50"/>
  <c r="F96" i="50"/>
  <c r="E98" i="50" l="1"/>
  <c r="F97" i="50"/>
  <c r="O96" i="50"/>
  <c r="P96" i="50"/>
  <c r="N96" i="50"/>
  <c r="E99" i="50" l="1"/>
  <c r="F98" i="50"/>
  <c r="O97" i="50"/>
  <c r="P97" i="50"/>
  <c r="N97" i="50"/>
  <c r="E100" i="50" l="1"/>
  <c r="F99" i="50"/>
  <c r="O98" i="50"/>
  <c r="P98" i="50"/>
  <c r="N98" i="50"/>
  <c r="E101" i="50" l="1"/>
  <c r="O99" i="50"/>
  <c r="P99" i="50"/>
  <c r="N99" i="50"/>
  <c r="F100" i="50"/>
  <c r="E102" i="50" l="1"/>
  <c r="F101" i="50"/>
  <c r="O100" i="50"/>
  <c r="P100" i="50"/>
  <c r="N100" i="50"/>
  <c r="E103" i="50" l="1"/>
  <c r="F102" i="50"/>
  <c r="O101" i="50"/>
  <c r="P101" i="50"/>
  <c r="N101" i="50"/>
  <c r="E104" i="50" l="1"/>
  <c r="F103" i="50"/>
  <c r="O102" i="50"/>
  <c r="P102" i="50"/>
  <c r="N102" i="50"/>
  <c r="E105" i="50" l="1"/>
  <c r="O103" i="50"/>
  <c r="P103" i="50"/>
  <c r="N103" i="50"/>
  <c r="F104" i="50"/>
  <c r="E106" i="50" l="1"/>
  <c r="O104" i="50"/>
  <c r="P104" i="50"/>
  <c r="N104" i="50"/>
  <c r="F105" i="50"/>
  <c r="E107" i="50" l="1"/>
  <c r="F106" i="50"/>
  <c r="O105" i="50"/>
  <c r="P105" i="50"/>
  <c r="N105" i="50"/>
  <c r="E108" i="50" l="1"/>
  <c r="F107" i="50"/>
  <c r="O106" i="50"/>
  <c r="P106" i="50"/>
  <c r="N106" i="50"/>
  <c r="E109" i="50" l="1"/>
  <c r="O107" i="50"/>
  <c r="P107" i="50"/>
  <c r="N107" i="50"/>
  <c r="F108" i="50"/>
  <c r="E110" i="50" l="1"/>
  <c r="F109" i="50"/>
  <c r="O108" i="50"/>
  <c r="P108" i="50"/>
  <c r="N108" i="50"/>
  <c r="E111" i="50" l="1"/>
  <c r="F110" i="50"/>
  <c r="O109" i="50"/>
  <c r="P109" i="50"/>
  <c r="N109" i="50"/>
  <c r="E112" i="50" l="1"/>
  <c r="O110" i="50"/>
  <c r="P110" i="50"/>
  <c r="N110" i="50"/>
  <c r="F111" i="50"/>
  <c r="E113" i="50" l="1"/>
  <c r="F112" i="50"/>
  <c r="O111" i="50"/>
  <c r="P111" i="50"/>
  <c r="N111" i="50"/>
  <c r="E114" i="50" l="1"/>
  <c r="O112" i="50"/>
  <c r="P112" i="50"/>
  <c r="N112" i="50"/>
  <c r="F113" i="50"/>
  <c r="E115" i="50" l="1"/>
  <c r="F114" i="50"/>
  <c r="O113" i="50"/>
  <c r="P113" i="50"/>
  <c r="N113" i="50"/>
  <c r="E116" i="50" l="1"/>
  <c r="F115" i="50"/>
  <c r="O114" i="50"/>
  <c r="P114" i="50"/>
  <c r="N114" i="50"/>
  <c r="E117" i="50" l="1"/>
  <c r="O115" i="50"/>
  <c r="P115" i="50"/>
  <c r="N115" i="50"/>
  <c r="F116" i="50"/>
  <c r="E118" i="50" l="1"/>
  <c r="F117" i="50"/>
  <c r="O116" i="50"/>
  <c r="P116" i="50"/>
  <c r="N116" i="50"/>
  <c r="E119" i="50" l="1"/>
  <c r="O117" i="50"/>
  <c r="P117" i="50"/>
  <c r="N117" i="50"/>
  <c r="F118" i="50"/>
  <c r="E120" i="50" l="1"/>
  <c r="F119" i="50"/>
  <c r="O118" i="50"/>
  <c r="P118" i="50"/>
  <c r="N118" i="50"/>
  <c r="E121" i="50" l="1"/>
  <c r="O119" i="50"/>
  <c r="P119" i="50"/>
  <c r="N119" i="50"/>
  <c r="F120" i="50"/>
  <c r="E122" i="50" l="1"/>
  <c r="O120" i="50"/>
  <c r="P120" i="50"/>
  <c r="N120" i="50"/>
  <c r="F121" i="50"/>
  <c r="E123" i="50" l="1"/>
  <c r="F122" i="50"/>
  <c r="O121" i="50"/>
  <c r="P121" i="50"/>
  <c r="N121" i="50"/>
  <c r="E124" i="50" l="1"/>
  <c r="F123" i="50"/>
  <c r="O122" i="50"/>
  <c r="P122" i="50"/>
  <c r="N122" i="50"/>
  <c r="E125" i="50" l="1"/>
  <c r="O123" i="50"/>
  <c r="P123" i="50"/>
  <c r="N123" i="50"/>
  <c r="F124" i="50"/>
  <c r="E126" i="50" l="1"/>
  <c r="F125" i="50"/>
  <c r="O124" i="50"/>
  <c r="P124" i="50"/>
  <c r="N124" i="50"/>
  <c r="E127" i="50" l="1"/>
  <c r="O125" i="50"/>
  <c r="P125" i="50"/>
  <c r="N125" i="50"/>
  <c r="F126" i="50"/>
  <c r="E128" i="50" l="1"/>
  <c r="O126" i="50"/>
  <c r="P126" i="50"/>
  <c r="N126" i="50"/>
  <c r="F127" i="50"/>
  <c r="E129" i="50" l="1"/>
  <c r="F128" i="50"/>
  <c r="O127" i="50"/>
  <c r="P127" i="50"/>
  <c r="N127" i="50"/>
  <c r="E130" i="50" l="1"/>
  <c r="F129" i="50"/>
  <c r="O128" i="50"/>
  <c r="P128" i="50"/>
  <c r="N128" i="50"/>
  <c r="E131" i="50" l="1"/>
  <c r="O129" i="50"/>
  <c r="P129" i="50"/>
  <c r="N129" i="50"/>
  <c r="F130" i="50"/>
  <c r="F131" i="50"/>
  <c r="O131" i="50" l="1"/>
  <c r="P131" i="50"/>
  <c r="N131" i="50"/>
  <c r="O130" i="50"/>
  <c r="P130" i="50"/>
  <c r="N130" i="50"/>
</calcChain>
</file>

<file path=xl/sharedStrings.xml><?xml version="1.0" encoding="utf-8"?>
<sst xmlns="http://schemas.openxmlformats.org/spreadsheetml/2006/main" count="1008" uniqueCount="469">
  <si>
    <t>Port</t>
  </si>
  <si>
    <t>Attached Device</t>
  </si>
  <si>
    <t>FID</t>
  </si>
  <si>
    <t>Link Addr</t>
  </si>
  <si>
    <t>DID (Hex)</t>
  </si>
  <si>
    <t>Port Addr (Hex)</t>
  </si>
  <si>
    <t>Low Qos VC</t>
  </si>
  <si>
    <t>Med Qos VC</t>
  </si>
  <si>
    <t>High Qos VC</t>
  </si>
  <si>
    <t>Med</t>
  </si>
  <si>
    <t>Low</t>
  </si>
  <si>
    <t>High</t>
  </si>
  <si>
    <t>Area</t>
  </si>
  <si>
    <t>Parameter</t>
  </si>
  <si>
    <t>Comments</t>
  </si>
  <si>
    <t>Fabric ID (FID)</t>
  </si>
  <si>
    <t>Fabric Name</t>
  </si>
  <si>
    <t>Switch Name</t>
  </si>
  <si>
    <t>Domain ID (DID)</t>
  </si>
  <si>
    <t>0x01</t>
  </si>
  <si>
    <t>Allow XISL</t>
  </si>
  <si>
    <t>Yes</t>
  </si>
  <si>
    <t>Login Banner</t>
  </si>
  <si>
    <t>DID</t>
  </si>
  <si>
    <t>Type</t>
  </si>
  <si>
    <t>0x02</t>
  </si>
  <si>
    <t>base</t>
  </si>
  <si>
    <t>0x03</t>
  </si>
  <si>
    <t>ficon</t>
  </si>
  <si>
    <t>0x04</t>
  </si>
  <si>
    <t>open</t>
  </si>
  <si>
    <t>0x05</t>
  </si>
  <si>
    <t>0x06</t>
  </si>
  <si>
    <t>0x07</t>
  </si>
  <si>
    <t>0x08</t>
  </si>
  <si>
    <t>0x09</t>
  </si>
  <si>
    <t>0x0A</t>
  </si>
  <si>
    <t>0x0B</t>
  </si>
  <si>
    <t>0x0C</t>
  </si>
  <si>
    <t>0x0D</t>
  </si>
  <si>
    <t>0x0E</t>
  </si>
  <si>
    <t>0x0F</t>
  </si>
  <si>
    <t>0x10</t>
  </si>
  <si>
    <t>0x11</t>
  </si>
  <si>
    <t>0x12</t>
  </si>
  <si>
    <t>0x13</t>
  </si>
  <si>
    <t>0x14</t>
  </si>
  <si>
    <t>0x15</t>
  </si>
  <si>
    <t>0x16</t>
  </si>
  <si>
    <t>0x17</t>
  </si>
  <si>
    <t>0x18</t>
  </si>
  <si>
    <t>0x19</t>
  </si>
  <si>
    <t>0x1A</t>
  </si>
  <si>
    <t>0x1B</t>
  </si>
  <si>
    <t>0x1C</t>
  </si>
  <si>
    <t>0x1D</t>
  </si>
  <si>
    <t>0x1E</t>
  </si>
  <si>
    <t>0x1F</t>
  </si>
  <si>
    <t>0x20</t>
  </si>
  <si>
    <t>0x21</t>
  </si>
  <si>
    <t>0x22</t>
  </si>
  <si>
    <t>0x23</t>
  </si>
  <si>
    <t>0x24</t>
  </si>
  <si>
    <t>0x25</t>
  </si>
  <si>
    <t>0x26</t>
  </si>
  <si>
    <t>0x27</t>
  </si>
  <si>
    <t>0x28</t>
  </si>
  <si>
    <t>0x29</t>
  </si>
  <si>
    <t>0x2A</t>
  </si>
  <si>
    <t>0x2B</t>
  </si>
  <si>
    <t>0x2C</t>
  </si>
  <si>
    <t>0x2D</t>
  </si>
  <si>
    <t>0x2E</t>
  </si>
  <si>
    <t>0x2F</t>
  </si>
  <si>
    <t>0x30</t>
  </si>
  <si>
    <t>0x31</t>
  </si>
  <si>
    <t>0x32</t>
  </si>
  <si>
    <t>0x33</t>
  </si>
  <si>
    <t>0x34</t>
  </si>
  <si>
    <t>0x35</t>
  </si>
  <si>
    <t>0x36</t>
  </si>
  <si>
    <t>0x37</t>
  </si>
  <si>
    <t>0x38</t>
  </si>
  <si>
    <t>0x39</t>
  </si>
  <si>
    <t>0x3A</t>
  </si>
  <si>
    <t>0x3B</t>
  </si>
  <si>
    <t>0x3C</t>
  </si>
  <si>
    <t>0x3D</t>
  </si>
  <si>
    <t>0x3E</t>
  </si>
  <si>
    <t>0x3F</t>
  </si>
  <si>
    <t>0x40</t>
  </si>
  <si>
    <t>0x41</t>
  </si>
  <si>
    <t>0x42</t>
  </si>
  <si>
    <t>0x43</t>
  </si>
  <si>
    <t>0x44</t>
  </si>
  <si>
    <t>0x45</t>
  </si>
  <si>
    <t>0x46</t>
  </si>
  <si>
    <t>0x47</t>
  </si>
  <si>
    <t>0x48</t>
  </si>
  <si>
    <t>0x49</t>
  </si>
  <si>
    <t>0x4A</t>
  </si>
  <si>
    <t>0x4B</t>
  </si>
  <si>
    <t>0x4C</t>
  </si>
  <si>
    <t>0x4D</t>
  </si>
  <si>
    <t>0x4E</t>
  </si>
  <si>
    <t>0x4F</t>
  </si>
  <si>
    <t>0x50</t>
  </si>
  <si>
    <t>0x51</t>
  </si>
  <si>
    <t>0x52</t>
  </si>
  <si>
    <t>0x53</t>
  </si>
  <si>
    <t>0x54</t>
  </si>
  <si>
    <t>0x55</t>
  </si>
  <si>
    <t>0x56</t>
  </si>
  <si>
    <t>0x57</t>
  </si>
  <si>
    <t>0x58</t>
  </si>
  <si>
    <t>0x59</t>
  </si>
  <si>
    <t>0x5A</t>
  </si>
  <si>
    <t>0x5B</t>
  </si>
  <si>
    <t>0x5C</t>
  </si>
  <si>
    <t>0x5D</t>
  </si>
  <si>
    <t>0x5E</t>
  </si>
  <si>
    <t>0x5F</t>
  </si>
  <si>
    <t>0x60</t>
  </si>
  <si>
    <t>0x61</t>
  </si>
  <si>
    <t>0x62</t>
  </si>
  <si>
    <t>0x63</t>
  </si>
  <si>
    <t>0x64</t>
  </si>
  <si>
    <t>0x65</t>
  </si>
  <si>
    <t>0x66</t>
  </si>
  <si>
    <t>0x67</t>
  </si>
  <si>
    <t>0x68</t>
  </si>
  <si>
    <t>0x69</t>
  </si>
  <si>
    <t>0x6A</t>
  </si>
  <si>
    <t>0x6B</t>
  </si>
  <si>
    <t>0x6C</t>
  </si>
  <si>
    <t>0x6D</t>
  </si>
  <si>
    <t>0x6E</t>
  </si>
  <si>
    <t>0x6F</t>
  </si>
  <si>
    <t>0x70</t>
  </si>
  <si>
    <t>0x71</t>
  </si>
  <si>
    <t>0x72</t>
  </si>
  <si>
    <t>0x73</t>
  </si>
  <si>
    <t>0x74</t>
  </si>
  <si>
    <t>0x75</t>
  </si>
  <si>
    <t>0x76</t>
  </si>
  <si>
    <t>0x77</t>
  </si>
  <si>
    <t>0x78</t>
  </si>
  <si>
    <t>0x79</t>
  </si>
  <si>
    <t>0x7A</t>
  </si>
  <si>
    <t>0x7B</t>
  </si>
  <si>
    <t>0x7C</t>
  </si>
  <si>
    <t>0x7D</t>
  </si>
  <si>
    <t>0x7E</t>
  </si>
  <si>
    <t>0x7F</t>
  </si>
  <si>
    <t>0x80</t>
  </si>
  <si>
    <t>0x81</t>
  </si>
  <si>
    <t>0x82</t>
  </si>
  <si>
    <t>0x83</t>
  </si>
  <si>
    <t>0x84</t>
  </si>
  <si>
    <t>0x85</t>
  </si>
  <si>
    <t>0x86</t>
  </si>
  <si>
    <t>0x87</t>
  </si>
  <si>
    <t>0x88</t>
  </si>
  <si>
    <t>0x89</t>
  </si>
  <si>
    <t>0x8A</t>
  </si>
  <si>
    <t>0x8B</t>
  </si>
  <si>
    <t>0x8C</t>
  </si>
  <si>
    <t>0x8D</t>
  </si>
  <si>
    <t>0x8E</t>
  </si>
  <si>
    <t>0x8F</t>
  </si>
  <si>
    <t>0x90</t>
  </si>
  <si>
    <t>0x91</t>
  </si>
  <si>
    <t>0x92</t>
  </si>
  <si>
    <t>0x93</t>
  </si>
  <si>
    <t>0x94</t>
  </si>
  <si>
    <t>0x95</t>
  </si>
  <si>
    <t>0x96</t>
  </si>
  <si>
    <t>0x97</t>
  </si>
  <si>
    <t>0x98</t>
  </si>
  <si>
    <t>0x99</t>
  </si>
  <si>
    <t>0x9A</t>
  </si>
  <si>
    <t>0x9B</t>
  </si>
  <si>
    <t>0x9C</t>
  </si>
  <si>
    <t>0x9D</t>
  </si>
  <si>
    <t>0x9E</t>
  </si>
  <si>
    <t>0x9F</t>
  </si>
  <si>
    <t>0xA0</t>
  </si>
  <si>
    <t>0xA1</t>
  </si>
  <si>
    <t>0xA2</t>
  </si>
  <si>
    <t>0xA3</t>
  </si>
  <si>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</si>
  <si>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</si>
  <si>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</si>
  <si>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</si>
  <si>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</si>
  <si>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</si>
  <si>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</si>
  <si>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</si>
  <si>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</si>
  <si>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</si>
  <si>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</si>
  <si>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</si>
  <si>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</si>
  <si>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</si>
  <si>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</si>
  <si>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</si>
  <si>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</si>
  <si>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</si>
  <si>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</si>
  <si>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</si>
  <si>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</si>
  <si>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</si>
  <si>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</si>
  <si>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</si>
  <si>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</si>
  <si>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</si>
  <si>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</si>
  <si>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</si>
  <si>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</si>
  <si>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</si>
  <si>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</si>
  <si>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</si>
  <si>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</si>
  <si>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0xC5</t>
  </si>
  <si>
    <t>0xC6</t>
  </si>
  <si>
    <t>0xC7</t>
  </si>
  <si>
    <t>0xC8</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</si>
  <si>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</si>
  <si>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</si>
  <si>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</si>
  <si>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</si>
  <si>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</si>
  <si>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</si>
  <si>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</si>
  <si>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</si>
  <si>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</si>
  <si>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</si>
  <si>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</si>
  <si>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</si>
  <si>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</si>
  <si>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</si>
  <si>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</si>
  <si>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</si>
  <si>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</si>
  <si>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</si>
  <si>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</si>
  <si>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</si>
  <si>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</si>
  <si>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</si>
  <si>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</si>
  <si>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</si>
  <si>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</si>
  <si>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</si>
  <si>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</si>
  <si>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</si>
  <si>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</si>
  <si>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</si>
  <si>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</si>
  <si>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</si>
  <si>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</si>
  <si>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</si>
  <si>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</si>
  <si>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</si>
  <si>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</si>
  <si>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</si>
  <si>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</si>
  <si>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Switch Type</t>
  </si>
  <si>
    <t>Duplicate WWN</t>
  </si>
  <si>
    <t>Bind</t>
  </si>
  <si>
    <t>SLOT 0</t>
  </si>
  <si>
    <t>Insistent DID</t>
  </si>
  <si>
    <t>Fab Principal</t>
  </si>
  <si>
    <t>aptpolicy</t>
  </si>
  <si>
    <t>DBR</t>
  </si>
  <si>
    <t>EBR</t>
  </si>
  <si>
    <t>0xF0</t>
  </si>
  <si>
    <t>0xF1</t>
  </si>
  <si>
    <t>0xF2</t>
  </si>
  <si>
    <t>0xF3</t>
  </si>
  <si>
    <t>0xF4</t>
  </si>
  <si>
    <t>0xF5</t>
  </si>
  <si>
    <t>0xF6</t>
  </si>
  <si>
    <t>0xF7</t>
  </si>
  <si>
    <t>0xF8</t>
  </si>
  <si>
    <t>0xF9</t>
  </si>
  <si>
    <t>0xFA</t>
  </si>
  <si>
    <t>0xFB</t>
  </si>
  <si>
    <t>0xFC</t>
  </si>
  <si>
    <t>0xFD</t>
  </si>
  <si>
    <t>0xFE</t>
  </si>
  <si>
    <t>0xFF</t>
  </si>
  <si>
    <t>Index</t>
  </si>
  <si>
    <t>Port Name</t>
  </si>
  <si>
    <t>Fabric Principal Priority</t>
  </si>
  <si>
    <t>Routing Policy</t>
  </si>
  <si>
    <t>No</t>
  </si>
  <si>
    <t>Enable CUP</t>
  </si>
  <si>
    <t>FICON only. Must be "Yes" if CUP is defined on any channel connected to this switch.</t>
  </si>
  <si>
    <t>Port Name Format</t>
  </si>
  <si>
    <t>Only applicable if "Port Name" is "dynamic". Search the FOS Admin Guide for "Dynamic Port Name" for an explanation of "dynamic" or the Rest API Guide for "dynamic-portname-format".</t>
  </si>
  <si>
    <t>Term</t>
  </si>
  <si>
    <t>Description</t>
  </si>
  <si>
    <t>DO NOT CHANGE. Since port addresses can change and the port numbering scheme can change based on switch type, the port index gives FOS a consistent way to reference physical ports.</t>
  </si>
  <si>
    <t>CLI</t>
  </si>
  <si>
    <t>This is a comment field only. When using create_swconfig.py, it is pre-filled with RNID data for mainframes or a hash of name server and FDMI information for open systems.</t>
  </si>
  <si>
    <t>Low Qos VC, Med Qos VC, and High Qos VC</t>
  </si>
  <si>
    <t>DO NOT CHANGE. The link address is only relevant to mainframe SAN administrators. This field is automatically calculated. The most significant byte is the DID in hex. The least significant byte is the port address.</t>
  </si>
  <si>
    <t>Intended for use with switcy_config.py and switcy_config_cli.py.</t>
  </si>
  <si>
    <t>DO NOT CHANGE. The port number without the slot indicator. Note that the slot number is determined by the sheet header.</t>
  </si>
  <si>
    <t>portcfglongdistance $p LS 1 -distance 100</t>
  </si>
  <si>
    <t>Example: Set a port for use as an E-Port only using the port index.</t>
  </si>
  <si>
    <t>portcfgeport -i $i 2</t>
  </si>
  <si>
    <t>Example: Set the long-distance mode on a port to automatically calculate required buffer credits for 100 Km with the default frame size and VC link init 1 using the port number.</t>
  </si>
  <si>
    <t>Chassis Name</t>
  </si>
  <si>
    <t>Customer defined user friendly name.</t>
  </si>
  <si>
    <t>Message Of The Day</t>
  </si>
  <si>
    <t>Session Timeout</t>
  </si>
  <si>
    <t>Shell Timeout</t>
  </si>
  <si>
    <t>TCP Timeout Level</t>
  </si>
  <si>
    <t>Max REST Sessions</t>
  </si>
  <si>
    <t>FCR</t>
  </si>
  <si>
    <t>Enable</t>
  </si>
  <si>
    <t>Bash timeout value in seconds. Leave blank for no change. Range: 0-99999. Set to 0 disables bash timeout. FOS default: 0</t>
  </si>
  <si>
    <t>Management interface timeout level. Leave blank for no change. Range: 1-5. FOS default and recommended: 5</t>
  </si>
  <si>
    <t>Fibre Channel Routing (FCR). This is a licensed feature that allows devices in two different SANs to communicate without merging the fabrics. Leave blank for no change.</t>
  </si>
  <si>
    <t>Step 1</t>
  </si>
  <si>
    <t>Make a copy of this workbook</t>
  </si>
  <si>
    <t>Step 3</t>
  </si>
  <si>
    <t>Step 2</t>
  </si>
  <si>
    <t>Step 4</t>
  </si>
  <si>
    <t>Fill out the "Slot 0" Worksheet. See the "Slot_x_Terms" tab for details.  Only ports with a FID that matches a FID on a “Switch_x” worksheet are acted on. All other ports are ignored.</t>
  </si>
  <si>
    <t>When possible, the channel and control units should all be on different Virtual Channels (VC) when cascaded. The default is the meduim Quality of Service (QoS) zone. Typically, the default medium QoS zone is used. Setting up QoS zones is independant of anything associated with this workbook. The VCs and QoS zones are provided to help channel path planners balance traffic across VCs.</t>
  </si>
  <si>
    <t>FICON Tip</t>
  </si>
  <si>
    <t>Typically blank (empty cell) which indicates no change. Chassis are only disabled for service actions.</t>
  </si>
  <si>
    <t>Define the chassis parameters on the "Chassis" sheet.</t>
  </si>
  <si>
    <t>Important Notes</t>
  </si>
  <si>
    <t>Order</t>
  </si>
  <si>
    <t>$cwwn</t>
  </si>
  <si>
    <t>Replaced with the chassis WWN</t>
  </si>
  <si>
    <t>$lwwn</t>
  </si>
  <si>
    <t>$swwn</t>
  </si>
  <si>
    <t>Replaced with the the logical switch WWN</t>
  </si>
  <si>
    <t>$p</t>
  </si>
  <si>
    <t>Replaced with the port number</t>
  </si>
  <si>
    <t>$i</t>
  </si>
  <si>
    <t>Replaced with the port index</t>
  </si>
  <si>
    <t>Hidden</t>
  </si>
  <si>
    <t>Start Enable</t>
  </si>
  <si>
    <t>End Enable</t>
  </si>
  <si>
    <t>$license</t>
  </si>
  <si>
    <t>CLI commands to send via SSH. Typical used to add licenses. See FOS command "license". To modify the management interface IP address,  use the FOS command "ipaddrset".</t>
  </si>
  <si>
    <t>Typically blank (empty cell) which indicates no change. If the chassis was disabled to execute CLI commands, then this is typically "Enable". Keep in mind, you can't enable a switch or ports when the chassis is disabled.</t>
  </si>
  <si>
    <t>Configure Switches</t>
  </si>
  <si>
    <t>The recommended best practice is to name fabrics. Mainframe: not used in HCD or elsewhere but may appear in error messages.</t>
  </si>
  <si>
    <t>Best practice is "Yes". Mainframe: If the switch type is "ficon", insistent DID will be set regardless of what what is entered here.</t>
  </si>
  <si>
    <t>Only relevant if Fabric Principal Enable is "Yes". See FOS CLI fabricprincipal -priority for details. Best practice is 0x0A</t>
  </si>
  <si>
    <t>Configure Ports</t>
  </si>
  <si>
    <t>Enable/Disable</t>
  </si>
  <si>
    <t>In fabrics consisting of mixed switch types, it is common to pick the switch on the most resilient and newest chassis. Moot in single switch fabrics or fabrics consisting of all the same switch types.</t>
  </si>
  <si>
    <t>Typically blank (empty cell) which indicates no change. Newly created logical switches are disabled by default. Switches are usually only disabled for service actions.</t>
  </si>
  <si>
    <t>Required. FIDs are necessary for FOS to differentiate between logical switches in a chassis. Each logical switch in a chassis must have a unique FID and all logical switches in the same fabric must have the same FID. A FID can be any integer in the range 1 - 128. The recommended best practice is to use FID 128 for the default logical switch. Mainframe: not used in HCD or elsewhere but may appear in error messages.</t>
  </si>
  <si>
    <t>Required unless modifying an existing switch. Empty indicates no change. DID must be in the range 1-0xEF. All switches in a fabric must have a unique DID. Mainframe: The DID is the high byte of the 2-byte address. The recommended best practice is to set the DID to match the Switch ID in HCD.</t>
  </si>
  <si>
    <t>A best effort algorithm is applied. Errors are reported as they are encountered, but processing continues.</t>
  </si>
  <si>
    <t>Reserve</t>
  </si>
  <si>
    <t>Fabric Principal</t>
  </si>
  <si>
    <t>Typically "No". Select "Yes" to share ISLs in a base switch. This should also be "Yes" when creating a base switch.</t>
  </si>
  <si>
    <t>Defines the switch type. Mainframe and AIX should always be "ficon".</t>
  </si>
  <si>
    <t xml:space="preserve">Should be "Yes" for mainframe and AIX. Should be "No" for all else. Exceptions are for those with expert knowledge. </t>
  </si>
  <si>
    <t>CLI commands are executed via an SSH session. Use multiple rows with "CLI" in column A or put multiple commands in the same cell on different lines. Commands are executed in the order read. Commands are processed as is. Minimal response evaluation is performed. Typically only used for long distance settings or to lock down a port as E-Port.</t>
  </si>
  <si>
    <t>DO NOT CHANGE. This is the virtual channel that will be used for the port. Not used by switch_config.py. Useful for B/W planning and evaluating ISL congestion.</t>
  </si>
  <si>
    <t>Best Effort</t>
  </si>
  <si>
    <t>Empty Cell</t>
  </si>
  <si>
    <t>Rows whose "Area" is empty (cleared) are ignored. An empty parameter indicates that no change should be made to the existing parameter.</t>
  </si>
  <si>
    <t>CLI Variables</t>
  </si>
  <si>
    <t>Replaced with the WWN used for license generation.</t>
  </si>
  <si>
    <t>Hidden sheets, rows, and columns are not read. Actions are only taken on cells read. Ports on a "Slot x" sheet that do not have a corresponding "Switch_x" sheet are ignored. If the intent is to make changes to the chassis only, then hide all "Switch_x" sheets.</t>
  </si>
  <si>
    <t>The domain ID in hex. This must match the domain ID used on the "Switch_x" sheets for the FID. When using "=" to use the DID on the switch sheet, "0x" and leading "0", if any, must be removed. The example "Slot 0" illustrates how to do this in cell C131. From the bottom up, the remaining ports have been prefilled to match the DID from the previous port.</t>
  </si>
  <si>
    <t>Rarely changed. Should only be changed under the guidance of someone with expert knowledge of FICON link addressing. The intended purpose is for setting non-standard link addresses for mainframe environments. When modifying the link addresses, keep in mind that the mainframe I/O subsystem does not support addresses greater than the maximum number of ports supported by the switch.</t>
  </si>
  <si>
    <t>This is the Fabric ID of the corresponding switch on one of the "Switch_x" sheets. If there is no corresponding FID number on a "Switch_x" sheet, the port is ignored (no changes are made to the port). Similar to DID, but a simple "=" will do. See cell G131 on the "Slot 0" worksheet.</t>
  </si>
  <si>
    <t>Session timeout value in seconds. Leave blank for no change. Range: 0-99999. Set to 0 disables SSH session timeout. Recommended is 60.</t>
  </si>
  <si>
    <t>Maximum number of REST sessions allowed. FOS default and recommended: 3.</t>
  </si>
  <si>
    <t>Typically "Yes". Chassis processing stops and processing of Switch_x sheets begins.</t>
  </si>
  <si>
    <t>CLI commands to send via SSH. Typically only used for service actions.</t>
  </si>
  <si>
    <t>User-friendly switch name. Best practice is to name all logical switches. Mainframe: not used in HCD or elsewhere but may appear in error messages.</t>
  </si>
  <si>
    <t>PBR</t>
  </si>
  <si>
    <t>Typically "Yes". Switch_x processing stops and processing of Slot x sheets begins.</t>
  </si>
  <si>
    <t>Typically "Enable". Port enables are processed after all chassis and switch configuration tasks are complete. Ports will only be enabled if the switch is enabled.</t>
  </si>
  <si>
    <t>This is the FICON switch</t>
  </si>
  <si>
    <t>This is the base switch</t>
  </si>
  <si>
    <t>Persistent Disable</t>
  </si>
  <si>
    <t>GSH_Chassis</t>
  </si>
  <si>
    <t>GSH Test Chassis
Contact Johnny Fixit
West Data Center
Aisle 3 Rack A6</t>
  </si>
  <si>
    <t>dynamic</t>
  </si>
  <si>
    <t>S.T.I.A</t>
  </si>
  <si>
    <t>Command Line Options</t>
  </si>
  <si>
    <t>-cli</t>
  </si>
  <si>
    <t>-force</t>
  </si>
  <si>
    <t>Processing begins with the "Chassis" worksheetsheet. “Switch_x” worksheets are only processed when "Configure Switches" is "Yes" on the "Chassis sheet. All items on the chassis sheet are processed in the order they appear, beginning with row 2.</t>
  </si>
  <si>
    <t>Once “Configure Switches” is encountered on the chassis worksheet, and the value is “Yes”, all switches are created and ports moved to the assigned switch. If a port on any of the “Slot x” worksheets does not have a corresponding “Sheet_x” worksheet, it is left untouched. If a port is found in a logical switch that it doesn’t belong to and there is no corresponding “Switch_x” worksheet, it is moved to the default FID. Since a port must be disabled to move it to another logical switch, F-Ports, ports that are online to a device, are only moved if -force is specified. -force is not required to move E-Ports, switch-to-switch ports. E-Ports are decommissioned, then moved.</t>
  </si>
  <si>
    <t>“Switch_x" sheets are then processed by row order, same as "Chassis. "Slot x" sheets are only processed when "Configure Ports" is "Yes".</t>
  </si>
  <si>
    <t>Disable</t>
  </si>
  <si>
    <t>Open_Fab_10</t>
  </si>
  <si>
    <t>base_Fab_30</t>
  </si>
  <si>
    <t>FICON_Fab_20</t>
  </si>
  <si>
    <t>Open_Switch_FID_10</t>
  </si>
  <si>
    <t>Base_Switch_FID_30</t>
  </si>
  <si>
    <t>This is the open switch</t>
  </si>
  <si>
    <t>Sets the port name. Only used when "Port Name" on the corresponding Switch_x worksheet is "off", "ficon -n", or "open -n". Since no changes to the port name are made if the cell is empty, this means there is no way to clear out old port names using this script.</t>
  </si>
  <si>
    <t>FICON_Switch_FID_20</t>
  </si>
  <si>
    <t>Same as "Message Of The Day" on the "Chassis" sheet except &lt;LF&gt; is not permitted. This message is displayed when logging into an individual logical switches (setcontext) via the CLI.</t>
  </si>
  <si>
    <t>first-flogi-or-second-fdisc-precedence</t>
  </si>
  <si>
    <t>first-flogi-or-first-fdisc-precedence</t>
  </si>
  <si>
    <t>Define the switch(es) using the "Switch_x" sheet. Make copies of this sheet to define multiple switches. All sheet names beginning with "Switch_" are assumed to be a switch configuration worksheet. The "x" in tab name is only used so that Excel has unique sheet names. Typically, x is replaced with the FID number or user-friendly switch name, but it is not used by scripts that read this workbook. It can be whatever you want. Keep in mind that most of the switch configuration items require  the switch to be disabled. When switches are newly created, they are disabled.</t>
  </si>
  <si>
    <t>The assumption is that all logical switches, other than the default switch, are being created. Several of the switch definitions and some of the port definitions require the switch or port to be disabled. If the switches and ports are already enabled, running switch_config.py with this workbook will generate errors for those items that require the switch or port to be offline, but it should continue running and make whatever changes can be made.</t>
  </si>
  <si>
    <t>Replaced with the login WWN. If there are multiple logins, the command is repeated for each login.</t>
  </si>
  <si>
    <t>Typically "Enable". Keep in mind that ports can only be enabled if the switch is enabled.</t>
  </si>
  <si>
    <t>Default_Fab_128</t>
  </si>
  <si>
    <t>Typically "Enable".  Typical placed before "Configure Ports" because ports can only be enabled if the switch is enabled.</t>
  </si>
  <si>
    <t>Best practice is "Yes". If the switch type is "ficon", insistent DID will be set regardless of what what is entered here.</t>
  </si>
  <si>
    <t>For efficiency, all port actions are processed as a group. “Start Enable” is processed for all ports, followed by “CLI”, then “Reserve”, then “Port Name”,  then “End Enable”. If a failure is encountered, each port is then processed one at a time for the action that failed on the group of ports. Keep in mind that a switch cannot be enabled on a disabled chassis and ports cannot be enabled on a disabled switch.</t>
  </si>
  <si>
    <t>Default_Switch_FID_128</t>
  </si>
  <si>
    <t>This example started as a test workbook. I think I removed all negative testing and everything that doesn't make sense while keeping as many examples as possible. It is not intended to illustrate best practice or make recommendations.</t>
  </si>
  <si>
    <t>portcfglongdistance $p LD 1 -distance 50
portcfgeport -i $i 2</t>
  </si>
  <si>
    <t>Switch_128</t>
  </si>
  <si>
    <t>Switch_Open</t>
  </si>
  <si>
    <t>"first-flogi-or-first-fdisc-precedence" (default): The first FLOGI/FDISC are accepted. Subsequent logins for the same WWN are rejected elsewhere in the fabric. Use this for mainframe. Open may use this as well, but that depends on how storage fails-over. "second-flogi-or-secondfdisc-precedence": the second FLOGI/FDISC takes precedence, so the login where the first FLOGI/FDISC for the WWN occured is rejected. This may be used by some storage vendors for automatic fail-over. "first-flogi-or-second-fdisc-precedence": First FLOGI takes precedence but second FDISC takes precedence. This is the most common setting for open systems automatic storage failover. This is what allows the storage controller to present WWNs on different ports when there is a port failure. Check with your storage vendor if your not sure.</t>
  </si>
  <si>
    <t>This affects how device logins, F-Ports, are handled. Since only E-Ports are allowed in the base switch, this setting is moot. The recommended best practice for a base switch is to set this to set this to "first-flogi-or-first-fdisc-precedence", which is the default for newely created switches.</t>
  </si>
  <si>
    <t xml:space="preserve">Should be "No", which is the default for newely created switches. F-Port connections are rejected in the base switch, so port addresses are not relevant. </t>
  </si>
  <si>
    <t>This cell must be empty when creating a base switch.</t>
  </si>
  <si>
    <t>Defines the switch type as a base switch.</t>
  </si>
  <si>
    <t>See "Switch_128" for a full explanation.</t>
  </si>
  <si>
    <t>The base switch is essentially a mutliplexer to share ISLs amoung different fabrics. It does not perform many of the fabric functions of other switch types. It does not make sense to set this. Setting this to "Yes" on a base switch may result in an error.</t>
  </si>
  <si>
    <t>Not relevant for a base switch.</t>
  </si>
  <si>
    <t>FICON only. Must be "Yes" if the IODF contains any channel with control unit link addresses defined for the E-Ports of the base switch.</t>
  </si>
  <si>
    <t>The default switch can only be "open" or "ficon".</t>
  </si>
  <si>
    <t>Setting the DID on the "slot x" Worksheets to Match the "Switch_x" Worksheet</t>
  </si>
  <si>
    <t>Port Naming Convention</t>
  </si>
  <si>
    <t>The port naming convention is discretionary. Four different naming conventions are used for the purpose of providing examples only.</t>
  </si>
  <si>
    <t>By default, FICON switches are created with DBR. All other switch types use EBR as the default routing policy. For mainframe, FICON, set this to EBR is if FiDR desired.</t>
  </si>
  <si>
    <t>This is the default switch. There are no active connections. This is a place to hold unused ports.</t>
  </si>
  <si>
    <t>"of the day" is a misnomer. This message is displayed when logging into the chassis via SSH (CLI) regardless of the date. Typically not used. When used, customers usually put site location and service contact information here. Maximum length is 1022 characters. Use a plain text editor so that text with line feeds, &lt;LF&gt;, can be copied and pasted into the cell.</t>
  </si>
  <si>
    <t xml:space="preserve">This is the typical configuration for an open systems switch that has storage with automatic failover. "Allow XISL" is set as an example on how to configure a switch for use with a base switch. </t>
  </si>
  <si>
    <t>Switch_FICON</t>
  </si>
  <si>
    <t>Use of the control unit port (CUP) is common in FICON environments. "Enable CUP" therefore is typically "Yes", but I didn't have a CUP license on the test switch I used for this, so it is set to "No". All other settings are typical for FICON switches.</t>
  </si>
  <si>
    <t>Switch_base</t>
  </si>
  <si>
    <t>Base switches are not common. A base switch is essentially a multiplexor that allows physical ISL links t be shared by multiple fabrics. Using QoS zones to ensure adequate B/W for high priority traffic is often a stronger consideration when sharring ISLs with multiple fabrics.</t>
  </si>
  <si>
    <t>Setting the DID on the "Slot x" worksheets isn’t as simple as setting the DID  to the DID on the corresponding “Switch_x” worksheet. See cell Slot 0!C131 as an example of how to set the DID to match a DID in the “Switch_x” worksheet.</t>
  </si>
  <si>
    <t>FICON only. Must be "Yes" if CUP is defined on any channel connected to this switch. A license is required to enable this feature. Most mainframe environments use CUP and therefore set this to "Yes". It is "No" in this example because the test switch I used to validate these examples did not have a FICON license. It has been tested with other switches that did have a CUP license.</t>
  </si>
  <si>
    <t>portcfglongdistance $p LS 1 -distance 100
portcfgeport -i $i 2
portcfgislmode $p, 1</t>
  </si>
  <si>
    <t>Slot 0</t>
  </si>
  <si>
    <t>The port CLI settings don't make sense. A variety of settings was used to illustrate how to use CLI commands when configuring ISLs for long distance. Typically, the settings are the same for all E-Ports. See "Slot 0". Portcfgislmode is only used when connecting to certain DWDM types.</t>
  </si>
  <si>
    <t>Except for the CLI in the base switch, these are typical settings.</t>
  </si>
  <si>
    <t>Disables are only performed when -force is specified. Keep in mind the CLI is not interpreted. Although not recommended, you can disabled something with a CLI command.</t>
  </si>
  <si>
    <t>CLI is only executed if -cli is specified. CLI is always executed when -cli is specified. CLI commands are executed as is. There is no ability to respond to interactive CLI commands. For error reporting purposes, some basic parsing of CLI responses are performed, but administrators should be aware that several error conditions are not processed. This means you can do whatever you want with CLI commands. Just keep in mind that just because you can do whatever you want, that doesn't mean you want to do whatever you can do.</t>
  </si>
  <si>
    <t>"first-flogi-or-first-fdisc-precedence" (default): The first FLOGI/FDISC are accepted. Subsequent logins for the same WWN are rejected elsewhere in the fabric. Use this for mainframe. Open may use this as well, but that depends on how storage fails-over. "second-flogi-or-secondfdisc-precedence": the second FLOGI/FDISC takes precedence, so the login where the first FLOGI/FDISC for the WWN occured is rejected. This may be used by some storage vendors for automatic fail-over. "first-flogi-or-second-fdisc-precedence": First FLOGI takes precedence but second FDISC takes precedence. This is the most common setting for open systems automatic storage fail-over. This is what allows the storage controller to present WWNs on different ports when there is a port failure. Check with your storage vendor if your not sure.</t>
  </si>
  <si>
    <t>The default switch, "Switch_128", did not have insistent domain ID set. Even though the DID is not changing, setting it to insistent requires the switch to be disabled. This example shows how to disable the switch, set insistent DID, and then re-enable it. It also serves as an example on how to persistently disable ports.</t>
  </si>
  <si>
    <t>All switches using the base port will use this routing policy regardless of how the routing policy is set for the switches using the base switch, "Allow XSIL" = "Yes". It is rare, if ever, for open environments to use anything other than EBR. Other settings are generally only of concern in mainframe environments where there is a logical switch for mainframe channel connections and a seperate logical switch for peer-to-peer storage connections sharring ISLs. Keep in mind that peer-to-peer storage connection use FCP (open) protocol, not FICON. If you select EBR, make sure all channels and device connections support FiDR.</t>
  </si>
  <si>
    <t>By default, FICON switches are created with DBR. All other switch types use EBR as the default routing policy. For mainframe, FICON, set this to EBR is if FiDR is desired. If "Allow XISL" is "Yes", the routing policy will be that of the base switch regardless of what is entered here.</t>
  </si>
  <si>
    <t>SCC</t>
  </si>
  <si>
    <t>FICON Zone</t>
  </si>
  <si>
    <t>FICON only. Ignored if "Switch Type" is not "ficon". Launches mf_zone.py followed by zone_config.py. "all" is the most common zoning method for FICON. Execute "python  mf_zone.py -eh" for an explanation of the different zoning options. Use mf_zone.py independantly to zone by channel.</t>
  </si>
  <si>
    <t>all</t>
  </si>
  <si>
    <t>*</t>
  </si>
  <si>
    <t>Typically only used for FICON. An SCC policy is required for FICON. For FICON fabrics with multiple switches, cascaded, it is common for SAN administrators to wait until all switches are connected before implementing an SCC policy. Enter * for the WWNs of all switches in the fabric. Use a CSV list to manually add additional WWNs. The existing SCC policy is added to only. For more granualar SCC settings, use scc_policy.py.</t>
  </si>
  <si>
    <t>open: No switch wide port naming. Port names may be assigned using the "Slot x" worksheets. Maximum characters: 128. ficon: Same as "open", but characters are limited to 24 characters. index: Default. The port name corresponds to the port index. fdmi: The port name corresponds to the attached FDMI host name. Do not use for FICON. dynamic: The port name corresponds to the format defined by "Port Name Format". For FICON, this field is usually either "ficon" or empty.</t>
  </si>
  <si>
    <t>Applicable to fixed port switches only. Reserves a POD license for the port. A port cannot be enabled if the license has not been reserved.</t>
  </si>
  <si>
    <t>Typically set. The port must be enabled to use it. Disables happen immediately. Enables will not take effect until the port is reserved, the chassis is enabled, and the switch is enabled.</t>
  </si>
  <si>
    <t>Typically clear (empty cell). Intended to execute CLI commands that require the port to be disabled. By default, all newly added ports are disabled. A disable here only makes sense when reconfiguring existing enabled ports. Although "Enable" and "Persistent Disable" are available options, there is no known practical reason to use them here. Use "End Enable" for final port configuration.</t>
  </si>
  <si>
    <t>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</si>
</sst>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ourier New"/>
      <family val="3"/>
    </font>
    <font>
      <sz val="11"/>
      <color rgb="FF000000"/>
      <name val="Calibri"/>
      <family val="2"/>
    </font>
  </fonts>
  <fills count="4">
    <fill>
      <patternFill patternType="none"/>
    </fill>
    <fill>
      <patternFill patternType="gray125"/>
    </fill>
    <fill>
      <patternFill patternType="solid">
        <fgColor rgb="FFC00000"/>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diagonal/>
    </border>
  </borders>
  <cellStyleXfs count="1">
    <xf numFmtId="0" fontId="0" fillId="0" borderId="0"/>
  </cellStyleXfs>
  <cellXfs count="27">
    <xf numFmtId="0" fontId="0" fillId="0" borderId="0" xfId="0"/>
    <xf numFmtId="0" fontId="0" fillId="0" borderId="0" xfId="0" applyAlignment="1">
      <alignment horizontal="center" vertical="top" wrapText="1"/>
    </xf>
    <xf numFmtId="0" fontId="0" fillId="0" borderId="0" xfId="0"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2" fillId="0" borderId="0" xfId="0" applyFont="1" applyAlignment="1">
      <alignment vertical="top" wrapText="1"/>
    </xf>
    <xf numFmtId="0" fontId="3" fillId="0" borderId="0" xfId="0" applyFont="1" applyAlignment="1">
      <alignment vertical="top" wrapText="1"/>
    </xf>
    <xf numFmtId="3" fontId="0" fillId="0" borderId="1" xfId="0" applyNumberFormat="1" applyBorder="1" applyAlignment="1">
      <alignment horizontal="center" vertical="top" wrapText="1"/>
    </xf>
    <xf numFmtId="0" fontId="0" fillId="0" borderId="1" xfId="0" applyBorder="1" applyAlignment="1">
      <alignment horizontal="left" vertical="top" wrapText="1"/>
    </xf>
    <xf numFmtId="0" fontId="0" fillId="0" borderId="2" xfId="0" applyBorder="1" applyAlignment="1">
      <alignment horizontal="center" vertical="top" wrapText="1"/>
    </xf>
    <xf numFmtId="0" fontId="0" fillId="0" borderId="0" xfId="0" applyAlignment="1">
      <alignment horizontal="center"/>
    </xf>
    <xf numFmtId="0" fontId="0" fillId="0" borderId="0" xfId="0" applyAlignment="1">
      <alignment horizontal="center" vertical="top"/>
    </xf>
    <xf numFmtId="0" fontId="0" fillId="0" borderId="0" xfId="0" applyAlignment="1">
      <alignment horizontal="left" vertical="top"/>
    </xf>
    <xf numFmtId="0" fontId="0" fillId="3" borderId="1" xfId="0"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horizontal="center" vertical="top" wrapText="1"/>
    </xf>
    <xf numFmtId="0" fontId="0" fillId="3" borderId="1" xfId="0" applyFill="1" applyBorder="1" applyAlignment="1">
      <alignment horizontal="left" vertical="top"/>
    </xf>
    <xf numFmtId="0" fontId="0" fillId="3" borderId="1" xfId="0" applyFill="1" applyBorder="1" applyAlignment="1">
      <alignment horizontal="left" vertical="top" wrapText="1"/>
    </xf>
    <xf numFmtId="49" fontId="0" fillId="0" borderId="0" xfId="0" applyNumberFormat="1" applyAlignment="1">
      <alignment vertical="top" wrapText="1"/>
    </xf>
    <xf numFmtId="0" fontId="4" fillId="0" borderId="1" xfId="0" applyFont="1" applyBorder="1" applyAlignment="1">
      <alignment horizontal="center" vertical="top" wrapText="1"/>
    </xf>
    <xf numFmtId="0" fontId="0" fillId="0" borderId="0" xfId="0" applyAlignment="1">
      <alignment vertical="top" wrapText="1"/>
    </xf>
    <xf numFmtId="0" fontId="2" fillId="0" borderId="0" xfId="0" applyFont="1" applyAlignment="1">
      <alignment vertical="top" wrapText="1"/>
    </xf>
    <xf numFmtId="0" fontId="1" fillId="2" borderId="3" xfId="0" applyFont="1" applyFill="1" applyBorder="1" applyAlignment="1">
      <alignment horizontal="center"/>
    </xf>
    <xf numFmtId="0" fontId="0" fillId="0" borderId="0" xfId="0"/>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39C4-9837-44D7-A44A-1D1FD2C8163D}">
  <dimension ref="A1:A26"/>
  <sheetViews>
    <sheetView workbookViewId="0">
      <selection activeCell="G4" sqref="G4"/>
    </sheetView>
  </sheetViews>
  <sheetFormatPr defaultRowHeight="15" x14ac:dyDescent="0.25"/>
  <cols>
    <col min="1" max="1" width="88.7109375" style="2" customWidth="1"/>
  </cols>
  <sheetData>
    <row r="1" spans="1:1" ht="45" x14ac:dyDescent="0.25">
      <c r="A1" s="2" t="s">
        <v>421</v>
      </c>
    </row>
    <row r="3" spans="1:1" ht="75" x14ac:dyDescent="0.25">
      <c r="A3" s="2" t="s">
        <v>413</v>
      </c>
    </row>
    <row r="5" spans="1:1" x14ac:dyDescent="0.25">
      <c r="A5" s="7" t="s">
        <v>435</v>
      </c>
    </row>
    <row r="6" spans="1:1" ht="45" x14ac:dyDescent="0.25">
      <c r="A6" s="2" t="s">
        <v>446</v>
      </c>
    </row>
    <row r="8" spans="1:1" x14ac:dyDescent="0.25">
      <c r="A8" s="7" t="s">
        <v>436</v>
      </c>
    </row>
    <row r="9" spans="1:1" ht="30" x14ac:dyDescent="0.25">
      <c r="A9" s="2" t="s">
        <v>437</v>
      </c>
    </row>
    <row r="11" spans="1:1" x14ac:dyDescent="0.25">
      <c r="A11" s="7" t="s">
        <v>423</v>
      </c>
    </row>
    <row r="12" spans="1:1" ht="60" x14ac:dyDescent="0.25">
      <c r="A12" s="2" t="s">
        <v>455</v>
      </c>
    </row>
    <row r="14" spans="1:1" x14ac:dyDescent="0.25">
      <c r="A14" s="7" t="s">
        <v>424</v>
      </c>
    </row>
    <row r="15" spans="1:1" ht="45" x14ac:dyDescent="0.25">
      <c r="A15" s="2" t="s">
        <v>441</v>
      </c>
    </row>
    <row r="17" spans="1:1" x14ac:dyDescent="0.25">
      <c r="A17" s="7" t="s">
        <v>442</v>
      </c>
    </row>
    <row r="18" spans="1:1" ht="45" x14ac:dyDescent="0.25">
      <c r="A18" s="2" t="s">
        <v>443</v>
      </c>
    </row>
    <row r="20" spans="1:1" x14ac:dyDescent="0.25">
      <c r="A20" s="7" t="s">
        <v>444</v>
      </c>
    </row>
    <row r="21" spans="1:1" ht="45" x14ac:dyDescent="0.25">
      <c r="A21" s="2" t="s">
        <v>445</v>
      </c>
    </row>
    <row r="23" spans="1:1" ht="45" x14ac:dyDescent="0.25">
      <c r="A23" s="2" t="s">
        <v>450</v>
      </c>
    </row>
    <row r="25" spans="1:1" x14ac:dyDescent="0.25">
      <c r="A25" s="7" t="s">
        <v>449</v>
      </c>
    </row>
    <row r="26" spans="1:1" x14ac:dyDescent="0.25">
      <c r="A26" s="2" t="s">
        <v>451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topLeftCell="A34" zoomScaleNormal="100" workbookViewId="0">
      <selection activeCell="H21" sqref="H21"/>
    </sheetView>
  </sheetViews>
  <sheetFormatPr defaultRowHeight="15" x14ac:dyDescent="0.25"/>
  <cols>
    <col min="1" max="1" width="10.5703125" style="2" customWidth="1"/>
    <col min="2" max="2" width="78.5703125" style="2" customWidth="1"/>
  </cols>
  <sheetData>
    <row r="1" spans="1:2" ht="15" customHeight="1" x14ac:dyDescent="0.25">
      <c r="A1" s="22" t="s">
        <v>307</v>
      </c>
      <c r="B1" s="22"/>
    </row>
    <row r="3" spans="1:2" x14ac:dyDescent="0.25">
      <c r="A3" s="23" t="s">
        <v>325</v>
      </c>
      <c r="B3" s="22"/>
    </row>
    <row r="4" spans="1:2" x14ac:dyDescent="0.25">
      <c r="A4" s="22" t="s">
        <v>326</v>
      </c>
      <c r="B4" s="22"/>
    </row>
    <row r="6" spans="1:2" x14ac:dyDescent="0.25">
      <c r="A6" s="23" t="s">
        <v>328</v>
      </c>
      <c r="B6" s="22"/>
    </row>
    <row r="7" spans="1:2" x14ac:dyDescent="0.25">
      <c r="A7" s="22" t="s">
        <v>334</v>
      </c>
      <c r="B7" s="22"/>
    </row>
    <row r="9" spans="1:2" x14ac:dyDescent="0.25">
      <c r="A9" s="23" t="s">
        <v>327</v>
      </c>
      <c r="B9" s="22"/>
    </row>
    <row r="10" spans="1:2" ht="90" customHeight="1" x14ac:dyDescent="0.25">
      <c r="A10" s="22" t="s">
        <v>412</v>
      </c>
      <c r="B10" s="22"/>
    </row>
    <row r="12" spans="1:2" x14ac:dyDescent="0.25">
      <c r="A12" s="23" t="s">
        <v>329</v>
      </c>
      <c r="B12" s="22"/>
    </row>
    <row r="13" spans="1:2" ht="30" customHeight="1" x14ac:dyDescent="0.25">
      <c r="A13" s="22" t="s">
        <v>330</v>
      </c>
      <c r="B13" s="22"/>
    </row>
    <row r="15" spans="1:2" ht="14.45" customHeight="1" x14ac:dyDescent="0.25">
      <c r="A15" s="23" t="s">
        <v>394</v>
      </c>
      <c r="B15" s="22"/>
    </row>
    <row r="16" spans="1:2" ht="45" x14ac:dyDescent="0.25">
      <c r="A16" s="20" t="s">
        <v>396</v>
      </c>
      <c r="B16" s="2" t="s">
        <v>452</v>
      </c>
    </row>
    <row r="18" spans="1:2" ht="105" x14ac:dyDescent="0.25">
      <c r="A18" s="20" t="s">
        <v>395</v>
      </c>
      <c r="B18" s="2" t="s">
        <v>453</v>
      </c>
    </row>
    <row r="19" spans="1:2" x14ac:dyDescent="0.25">
      <c r="A19" s="20"/>
    </row>
    <row r="20" spans="1:2" x14ac:dyDescent="0.25">
      <c r="A20" s="20"/>
    </row>
    <row r="21" spans="1:2" x14ac:dyDescent="0.25">
      <c r="A21" s="23" t="s">
        <v>370</v>
      </c>
      <c r="B21" s="23"/>
    </row>
    <row r="22" spans="1:2" ht="30" customHeight="1" x14ac:dyDescent="0.25">
      <c r="A22" s="22" t="s">
        <v>362</v>
      </c>
      <c r="B22" s="22"/>
    </row>
    <row r="24" spans="1:2" x14ac:dyDescent="0.25">
      <c r="A24" s="23" t="s">
        <v>332</v>
      </c>
      <c r="B24" s="22"/>
    </row>
    <row r="25" spans="1:2" ht="59.1" customHeight="1" x14ac:dyDescent="0.25">
      <c r="A25" s="22" t="s">
        <v>331</v>
      </c>
      <c r="B25" s="22"/>
    </row>
    <row r="27" spans="1:2" x14ac:dyDescent="0.25">
      <c r="A27" s="23" t="s">
        <v>335</v>
      </c>
      <c r="B27" s="22"/>
    </row>
    <row r="28" spans="1:2" ht="60" x14ac:dyDescent="0.25">
      <c r="A28" s="2" t="s">
        <v>346</v>
      </c>
      <c r="B28" s="2" t="s">
        <v>375</v>
      </c>
    </row>
    <row r="30" spans="1:2" ht="30" x14ac:dyDescent="0.25">
      <c r="A30" s="2" t="s">
        <v>371</v>
      </c>
      <c r="B30" s="2" t="s">
        <v>372</v>
      </c>
    </row>
    <row r="32" spans="1:2" ht="45" x14ac:dyDescent="0.25">
      <c r="A32" s="2" t="s">
        <v>336</v>
      </c>
      <c r="B32" s="2" t="s">
        <v>397</v>
      </c>
    </row>
    <row r="34" spans="1:2" ht="120" x14ac:dyDescent="0.25">
      <c r="B34" s="2" t="s">
        <v>398</v>
      </c>
    </row>
    <row r="36" spans="1:2" ht="30" x14ac:dyDescent="0.25">
      <c r="B36" s="2" t="s">
        <v>399</v>
      </c>
    </row>
    <row r="38" spans="1:2" ht="75" x14ac:dyDescent="0.25">
      <c r="B38" s="2" t="s">
        <v>419</v>
      </c>
    </row>
    <row r="40" spans="1:2" x14ac:dyDescent="0.25">
      <c r="A40" s="23" t="s">
        <v>373</v>
      </c>
      <c r="B40" s="23"/>
    </row>
    <row r="41" spans="1:2" x14ac:dyDescent="0.25">
      <c r="A41" s="2" t="s">
        <v>337</v>
      </c>
      <c r="B41" s="2" t="s">
        <v>338</v>
      </c>
    </row>
    <row r="42" spans="1:2" x14ac:dyDescent="0.25">
      <c r="A42" s="2" t="s">
        <v>349</v>
      </c>
      <c r="B42" s="2" t="s">
        <v>374</v>
      </c>
    </row>
    <row r="43" spans="1:2" x14ac:dyDescent="0.25">
      <c r="A43" s="2" t="s">
        <v>340</v>
      </c>
      <c r="B43" s="2" t="s">
        <v>341</v>
      </c>
    </row>
    <row r="44" spans="1:2" x14ac:dyDescent="0.25">
      <c r="A44" s="2" t="s">
        <v>342</v>
      </c>
      <c r="B44" s="2" t="s">
        <v>343</v>
      </c>
    </row>
    <row r="45" spans="1:2" x14ac:dyDescent="0.25">
      <c r="A45" s="2" t="s">
        <v>344</v>
      </c>
      <c r="B45" s="2" t="s">
        <v>345</v>
      </c>
    </row>
    <row r="46" spans="1:2" ht="30" x14ac:dyDescent="0.25">
      <c r="A46" s="2" t="s">
        <v>339</v>
      </c>
      <c r="B46" s="2" t="s">
        <v>414</v>
      </c>
    </row>
  </sheetData>
  <mergeCells count="16">
    <mergeCell ref="A40:B40"/>
    <mergeCell ref="A12:B12"/>
    <mergeCell ref="A13:B13"/>
    <mergeCell ref="A24:B24"/>
    <mergeCell ref="A25:B25"/>
    <mergeCell ref="A15:B15"/>
    <mergeCell ref="A27:B27"/>
    <mergeCell ref="A21:B21"/>
    <mergeCell ref="A22:B22"/>
    <mergeCell ref="A10:B10"/>
    <mergeCell ref="A1:B1"/>
    <mergeCell ref="A4:B4"/>
    <mergeCell ref="A6:B6"/>
    <mergeCell ref="A3:B3"/>
    <mergeCell ref="A7:B7"/>
    <mergeCell ref="A9:B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69343-1580-4613-8DE0-23D17298D112}">
  <dimension ref="A1:B35"/>
  <sheetViews>
    <sheetView topLeftCell="A19" workbookViewId="0">
      <selection activeCell="C24" sqref="C24"/>
    </sheetView>
  </sheetViews>
  <sheetFormatPr defaultRowHeight="15" x14ac:dyDescent="0.25"/>
  <cols>
    <col min="1" max="1" width="18.7109375" style="2" customWidth="1"/>
    <col min="2" max="2" width="62.7109375" style="2" customWidth="1"/>
  </cols>
  <sheetData>
    <row r="1" spans="1:2" x14ac:dyDescent="0.25">
      <c r="A1" s="7" t="s">
        <v>300</v>
      </c>
      <c r="B1" s="7" t="s">
        <v>301</v>
      </c>
    </row>
    <row r="3" spans="1:2" ht="30" x14ac:dyDescent="0.25">
      <c r="A3" s="2" t="s">
        <v>0</v>
      </c>
      <c r="B3" s="2" t="s">
        <v>308</v>
      </c>
    </row>
    <row r="5" spans="1:2" ht="90" x14ac:dyDescent="0.25">
      <c r="A5" s="2" t="s">
        <v>4</v>
      </c>
      <c r="B5" s="2" t="s">
        <v>376</v>
      </c>
    </row>
    <row r="7" spans="1:2" ht="105" x14ac:dyDescent="0.25">
      <c r="A7" s="2" t="s">
        <v>5</v>
      </c>
      <c r="B7" s="2" t="s">
        <v>377</v>
      </c>
    </row>
    <row r="9" spans="1:2" ht="45" x14ac:dyDescent="0.25">
      <c r="A9" s="2" t="s">
        <v>291</v>
      </c>
      <c r="B9" s="2" t="s">
        <v>302</v>
      </c>
    </row>
    <row r="11" spans="1:2" ht="60" x14ac:dyDescent="0.25">
      <c r="A11" s="2" t="s">
        <v>3</v>
      </c>
      <c r="B11" s="2" t="s">
        <v>306</v>
      </c>
    </row>
    <row r="13" spans="1:2" ht="75" x14ac:dyDescent="0.25">
      <c r="A13" s="2" t="s">
        <v>2</v>
      </c>
      <c r="B13" s="2" t="s">
        <v>378</v>
      </c>
    </row>
    <row r="15" spans="1:2" ht="90" x14ac:dyDescent="0.25">
      <c r="A15" s="2" t="s">
        <v>347</v>
      </c>
      <c r="B15" s="26" t="s">
        <v>467</v>
      </c>
    </row>
    <row r="17" spans="1:2" ht="90" x14ac:dyDescent="0.25">
      <c r="A17" s="2" t="s">
        <v>303</v>
      </c>
      <c r="B17" s="2" t="s">
        <v>368</v>
      </c>
    </row>
    <row r="19" spans="1:2" ht="45" x14ac:dyDescent="0.25">
      <c r="B19" s="2" t="s">
        <v>312</v>
      </c>
    </row>
    <row r="21" spans="1:2" x14ac:dyDescent="0.25">
      <c r="B21" s="8" t="s">
        <v>309</v>
      </c>
    </row>
    <row r="23" spans="1:2" x14ac:dyDescent="0.25">
      <c r="B23" s="2" t="s">
        <v>310</v>
      </c>
    </row>
    <row r="25" spans="1:2" x14ac:dyDescent="0.25">
      <c r="B25" s="8" t="s">
        <v>311</v>
      </c>
    </row>
    <row r="27" spans="1:2" ht="45" x14ac:dyDescent="0.25">
      <c r="A27" s="2" t="s">
        <v>348</v>
      </c>
      <c r="B27" s="26" t="s">
        <v>466</v>
      </c>
    </row>
    <row r="29" spans="1:2" ht="45" x14ac:dyDescent="0.25">
      <c r="A29" s="2" t="s">
        <v>363</v>
      </c>
      <c r="B29" s="26" t="s">
        <v>465</v>
      </c>
    </row>
    <row r="31" spans="1:2" ht="45" x14ac:dyDescent="0.25">
      <c r="A31" s="2" t="s">
        <v>1</v>
      </c>
      <c r="B31" s="2" t="s">
        <v>304</v>
      </c>
    </row>
    <row r="33" spans="1:2" ht="60" x14ac:dyDescent="0.25">
      <c r="A33" s="2" t="s">
        <v>292</v>
      </c>
      <c r="B33" s="2" t="s">
        <v>407</v>
      </c>
    </row>
    <row r="35" spans="1:2" ht="45" x14ac:dyDescent="0.25">
      <c r="A35" s="2" t="s">
        <v>305</v>
      </c>
      <c r="B35" s="2" t="s">
        <v>369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3350-9672-4769-A5C9-5207B1DA3378}">
  <dimension ref="A1:C13"/>
  <sheetViews>
    <sheetView zoomScale="85" zoomScaleNormal="85" workbookViewId="0">
      <selection activeCell="A13" sqref="A13:XFD13"/>
    </sheetView>
  </sheetViews>
  <sheetFormatPr defaultRowHeight="15" x14ac:dyDescent="0.25"/>
  <cols>
    <col min="1" max="1" width="25.42578125" style="2" customWidth="1"/>
    <col min="2" max="2" width="20.5703125" style="1" customWidth="1"/>
    <col min="3" max="3" width="80.5703125" style="2" customWidth="1"/>
  </cols>
  <sheetData>
    <row r="1" spans="1:3" x14ac:dyDescent="0.25">
      <c r="A1" s="3" t="s">
        <v>12</v>
      </c>
      <c r="B1" s="4" t="s">
        <v>13</v>
      </c>
      <c r="C1" s="3" t="s">
        <v>14</v>
      </c>
    </row>
    <row r="2" spans="1:3" x14ac:dyDescent="0.25">
      <c r="A2" s="3"/>
      <c r="B2" s="4"/>
      <c r="C2" s="3"/>
    </row>
    <row r="3" spans="1:3" s="2" customFormat="1" ht="30" x14ac:dyDescent="0.25">
      <c r="A3" s="5" t="s">
        <v>357</v>
      </c>
      <c r="B3" s="6"/>
      <c r="C3" s="5" t="s">
        <v>333</v>
      </c>
    </row>
    <row r="4" spans="1:3" ht="45" x14ac:dyDescent="0.25">
      <c r="A4" s="5" t="s">
        <v>303</v>
      </c>
      <c r="B4" s="6"/>
      <c r="C4" s="5" t="s">
        <v>350</v>
      </c>
    </row>
    <row r="5" spans="1:3" s="2" customFormat="1" ht="45" x14ac:dyDescent="0.25">
      <c r="A5" s="5" t="s">
        <v>357</v>
      </c>
      <c r="B5" s="6"/>
      <c r="C5" s="5" t="s">
        <v>351</v>
      </c>
    </row>
    <row r="6" spans="1:3" s="2" customFormat="1" x14ac:dyDescent="0.25">
      <c r="A6" s="5" t="s">
        <v>313</v>
      </c>
      <c r="B6" s="10" t="s">
        <v>390</v>
      </c>
      <c r="C6" s="5" t="s">
        <v>314</v>
      </c>
    </row>
    <row r="7" spans="1:3" ht="30" x14ac:dyDescent="0.25">
      <c r="A7" s="5" t="s">
        <v>320</v>
      </c>
      <c r="B7" s="6"/>
      <c r="C7" s="5" t="s">
        <v>324</v>
      </c>
    </row>
    <row r="8" spans="1:3" ht="75" customHeight="1" x14ac:dyDescent="0.25">
      <c r="A8" s="5" t="s">
        <v>315</v>
      </c>
      <c r="B8" s="10" t="s">
        <v>391</v>
      </c>
      <c r="C8" s="5" t="s">
        <v>440</v>
      </c>
    </row>
    <row r="9" spans="1:3" ht="30" x14ac:dyDescent="0.25">
      <c r="A9" s="5" t="s">
        <v>317</v>
      </c>
      <c r="B9" s="9">
        <v>0</v>
      </c>
      <c r="C9" s="5" t="s">
        <v>322</v>
      </c>
    </row>
    <row r="10" spans="1:3" ht="30" x14ac:dyDescent="0.25">
      <c r="A10" s="5" t="s">
        <v>316</v>
      </c>
      <c r="B10" s="9">
        <v>60</v>
      </c>
      <c r="C10" s="5" t="s">
        <v>379</v>
      </c>
    </row>
    <row r="11" spans="1:3" ht="30" x14ac:dyDescent="0.25">
      <c r="A11" s="5" t="s">
        <v>318</v>
      </c>
      <c r="B11" s="9">
        <v>5</v>
      </c>
      <c r="C11" s="5" t="s">
        <v>323</v>
      </c>
    </row>
    <row r="12" spans="1:3" x14ac:dyDescent="0.25">
      <c r="A12" s="5" t="s">
        <v>319</v>
      </c>
      <c r="B12" s="21">
        <v>3</v>
      </c>
      <c r="C12" s="5" t="s">
        <v>380</v>
      </c>
    </row>
    <row r="13" spans="1:3" x14ac:dyDescent="0.25">
      <c r="A13" s="5" t="s">
        <v>352</v>
      </c>
      <c r="B13" s="6" t="s">
        <v>21</v>
      </c>
      <c r="C13" s="5" t="s">
        <v>381</v>
      </c>
    </row>
  </sheetData>
  <dataValidations count="8">
    <dataValidation type="list" allowBlank="1" showInputMessage="1" showErrorMessage="1" errorTitle="Invalid Timeout" error="TCP timeout must be an integer in the range 1-5." sqref="B11" xr:uid="{918055D0-D882-428D-B1C6-D82190480F94}">
      <formula1>"1,2,3,4,5"</formula1>
    </dataValidation>
    <dataValidation type="whole" allowBlank="1" showInputMessage="1" showErrorMessage="1" errorTitle="Invalid Timeout" error="Shell timeout must be empty (blank) or an integer in the range 0-99999." sqref="B9" xr:uid="{5D4C8D99-5FE7-4741-AEB1-C7C370590AA5}">
      <formula1>0</formula1>
      <formula2>99999</formula2>
    </dataValidation>
    <dataValidation type="whole" allowBlank="1" showInputMessage="1" showErrorMessage="1" errorTitle="Invalid Timeout" error="Session timeout must be empty (blank) or an integer in the range 0-99999." sqref="B10" xr:uid="{7342FC7A-3CF2-40AD-B584-AA9589EAAAEE}">
      <formula1>0</formula1>
      <formula2>99999</formula2>
    </dataValidation>
    <dataValidation type="list" allowBlank="1" showInputMessage="1" showErrorMessage="1" error="Use Enable or Disable only." sqref="B7" xr:uid="{A660C39C-07FE-4768-86A0-6926ABB079DF}">
      <formula1>"Enable,Disable"</formula1>
    </dataValidation>
    <dataValidation type="list" allowBlank="1" showInputMessage="1" showErrorMessage="1" error="Valid options are: Clear (empty cell), &quot;Enable&quot; or &quot;Disable&quot;." sqref="B3 B5" xr:uid="{D2335284-9F0F-4C1F-9CB0-6C83B62E7233}">
      <formula1>"Enable,Disable"</formula1>
    </dataValidation>
    <dataValidation type="list" allowBlank="1" showInputMessage="1" showErrorMessage="1" error="Use Yes or No only." sqref="B13" xr:uid="{10A0FEE1-2577-4FE8-9BEC-089364ED3342}">
      <formula1>"Yes,No"</formula1>
    </dataValidation>
    <dataValidation allowBlank="1" showInputMessage="1" sqref="B4" xr:uid="{0774B6C4-5149-4459-8FD0-5918227A736F}"/>
    <dataValidation type="list" allowBlank="1" errorTitle="Invalid Entry" error="Maximum rest sessions must be 1-10. Leave blank for no change. Please use pull down menu to pick an appropriate value." sqref="B12" xr:uid="{F64C13DC-CDEF-4E74-B17E-A41C37720C61}">
      <formula1>"1,2,3,4,5,6,7,8,9,10"</formula1>
    </dataValidation>
  </dataValidation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1153A-AD32-41CD-B6D0-DCD08124550D}">
  <dimension ref="A1:C22"/>
  <sheetViews>
    <sheetView topLeftCell="A10" workbookViewId="0">
      <selection activeCell="C18" sqref="C18"/>
    </sheetView>
  </sheetViews>
  <sheetFormatPr defaultRowHeight="15" x14ac:dyDescent="0.25"/>
  <cols>
    <col min="1" max="1" width="20.5703125" style="2" customWidth="1"/>
    <col min="2" max="2" width="20.5703125" style="1" customWidth="1"/>
    <col min="3" max="3" width="80.5703125" style="2" customWidth="1"/>
  </cols>
  <sheetData>
    <row r="1" spans="1:3" x14ac:dyDescent="0.25">
      <c r="A1" s="3" t="s">
        <v>12</v>
      </c>
      <c r="B1" s="4" t="s">
        <v>13</v>
      </c>
      <c r="C1" s="3" t="s">
        <v>14</v>
      </c>
    </row>
    <row r="2" spans="1:3" x14ac:dyDescent="0.25">
      <c r="A2" s="5"/>
      <c r="B2" s="6"/>
      <c r="C2" s="5"/>
    </row>
    <row r="3" spans="1:3" ht="75" x14ac:dyDescent="0.25">
      <c r="A3" s="5" t="s">
        <v>15</v>
      </c>
      <c r="B3" s="6">
        <v>128</v>
      </c>
      <c r="C3" s="5" t="s">
        <v>360</v>
      </c>
    </row>
    <row r="4" spans="1:3" s="2" customFormat="1" ht="30" x14ac:dyDescent="0.25">
      <c r="A4" s="5" t="s">
        <v>357</v>
      </c>
      <c r="B4" s="6" t="s">
        <v>400</v>
      </c>
      <c r="C4" s="5" t="s">
        <v>359</v>
      </c>
    </row>
    <row r="5" spans="1:3" ht="60" x14ac:dyDescent="0.25">
      <c r="A5" s="5" t="s">
        <v>18</v>
      </c>
      <c r="B5" s="6" t="s">
        <v>19</v>
      </c>
      <c r="C5" s="5" t="s">
        <v>361</v>
      </c>
    </row>
    <row r="6" spans="1:3" ht="30" x14ac:dyDescent="0.25">
      <c r="A6" s="5" t="s">
        <v>270</v>
      </c>
      <c r="B6" s="6" t="s">
        <v>21</v>
      </c>
      <c r="C6" s="5" t="s">
        <v>418</v>
      </c>
    </row>
    <row r="7" spans="1:3" x14ac:dyDescent="0.25">
      <c r="A7" s="5" t="s">
        <v>303</v>
      </c>
      <c r="B7" s="6"/>
      <c r="C7" s="5" t="s">
        <v>382</v>
      </c>
    </row>
    <row r="8" spans="1:3" ht="30" x14ac:dyDescent="0.25">
      <c r="A8" s="5" t="s">
        <v>16</v>
      </c>
      <c r="B8" s="6" t="s">
        <v>416</v>
      </c>
      <c r="C8" s="5" t="s">
        <v>353</v>
      </c>
    </row>
    <row r="9" spans="1:3" ht="30" x14ac:dyDescent="0.25">
      <c r="A9" s="5" t="s">
        <v>17</v>
      </c>
      <c r="B9" s="6" t="s">
        <v>420</v>
      </c>
      <c r="C9" s="5" t="s">
        <v>383</v>
      </c>
    </row>
    <row r="10" spans="1:3" ht="45" x14ac:dyDescent="0.25">
      <c r="A10" s="5" t="s">
        <v>364</v>
      </c>
      <c r="B10" s="6"/>
      <c r="C10" s="5" t="s">
        <v>358</v>
      </c>
    </row>
    <row r="11" spans="1:3" ht="30" x14ac:dyDescent="0.25">
      <c r="A11" s="5" t="s">
        <v>293</v>
      </c>
      <c r="B11" s="6"/>
      <c r="C11" s="5" t="s">
        <v>355</v>
      </c>
    </row>
    <row r="12" spans="1:3" ht="30" x14ac:dyDescent="0.25">
      <c r="A12" s="5" t="s">
        <v>20</v>
      </c>
      <c r="B12" s="6"/>
      <c r="C12" s="5" t="s">
        <v>365</v>
      </c>
    </row>
    <row r="13" spans="1:3" ht="75" x14ac:dyDescent="0.25">
      <c r="A13" s="5" t="s">
        <v>22</v>
      </c>
      <c r="B13" s="10" t="s">
        <v>439</v>
      </c>
      <c r="C13" s="5" t="s">
        <v>409</v>
      </c>
    </row>
    <row r="14" spans="1:3" x14ac:dyDescent="0.25">
      <c r="A14" s="5" t="s">
        <v>266</v>
      </c>
      <c r="B14" s="6" t="s">
        <v>30</v>
      </c>
      <c r="C14" s="5" t="s">
        <v>434</v>
      </c>
    </row>
    <row r="15" spans="1:3" ht="150" x14ac:dyDescent="0.25">
      <c r="A15" s="5" t="s">
        <v>267</v>
      </c>
      <c r="B15" s="6"/>
      <c r="C15" s="5" t="s">
        <v>454</v>
      </c>
    </row>
    <row r="16" spans="1:3" ht="30" x14ac:dyDescent="0.25">
      <c r="A16" s="5" t="s">
        <v>268</v>
      </c>
      <c r="B16" s="6"/>
      <c r="C16" s="5" t="s">
        <v>367</v>
      </c>
    </row>
    <row r="17" spans="1:3" ht="60" x14ac:dyDescent="0.25">
      <c r="A17" s="5" t="s">
        <v>294</v>
      </c>
      <c r="B17" s="6"/>
      <c r="C17" s="5" t="s">
        <v>457</v>
      </c>
    </row>
    <row r="18" spans="1:3" ht="90" x14ac:dyDescent="0.25">
      <c r="A18" s="5" t="s">
        <v>292</v>
      </c>
      <c r="B18" s="6"/>
      <c r="C18" s="5" t="s">
        <v>464</v>
      </c>
    </row>
    <row r="19" spans="1:3" ht="45" x14ac:dyDescent="0.25">
      <c r="A19" s="5" t="s">
        <v>298</v>
      </c>
      <c r="B19" s="6"/>
      <c r="C19" s="5" t="s">
        <v>299</v>
      </c>
    </row>
    <row r="20" spans="1:3" s="2" customFormat="1" ht="30" x14ac:dyDescent="0.25">
      <c r="A20" s="5" t="s">
        <v>357</v>
      </c>
      <c r="B20" s="6" t="s">
        <v>321</v>
      </c>
      <c r="C20" s="5" t="s">
        <v>417</v>
      </c>
    </row>
    <row r="21" spans="1:3" x14ac:dyDescent="0.25">
      <c r="A21" s="5" t="s">
        <v>296</v>
      </c>
      <c r="B21" s="6"/>
      <c r="C21" s="5" t="s">
        <v>297</v>
      </c>
    </row>
    <row r="22" spans="1:3" x14ac:dyDescent="0.25">
      <c r="A22" s="5" t="s">
        <v>356</v>
      </c>
      <c r="B22" s="6" t="s">
        <v>21</v>
      </c>
      <c r="C22" s="5" t="s">
        <v>385</v>
      </c>
    </row>
  </sheetData>
  <dataValidations count="7">
    <dataValidation type="list" allowBlank="1" showInputMessage="1" showErrorMessage="1" sqref="B17" xr:uid="{E90663C4-D22D-4586-A218-CE9A27F16A46}">
      <formula1>"DBR,EBR"</formula1>
    </dataValidation>
    <dataValidation allowBlank="1" showInputMessage="1" sqref="B7" xr:uid="{B4AEAA6B-DA5D-4029-A976-6BE346A91602}"/>
    <dataValidation type="list" allowBlank="1" showInputMessage="1" showErrorMessage="1" error="Use Yes or No only." sqref="B12 B10 B22 B6" xr:uid="{9F3FAAC6-6712-44F0-B553-05FD6DCA462A}">
      <formula1>"Yes,No"</formula1>
    </dataValidation>
    <dataValidation type="list" allowBlank="1" showInputMessage="1" showErrorMessage="1" error="Must be off, default, fdmi, dynamic, open -n, ficon -n" sqref="B18" xr:uid="{105DC547-4540-4053-B315-B0EE0B4ED00A}">
      <formula1>"index,fdmi,dynamic,open, ficon"</formula1>
    </dataValidation>
    <dataValidation type="list" allowBlank="1" showInputMessage="1" showErrorMessage="1" sqref="B16 B21" xr:uid="{C1D3A027-04D1-4030-A5A5-981072B6EB54}">
      <formula1>"Yes,No"</formula1>
    </dataValidation>
    <dataValidation type="list" allowBlank="1" showInputMessage="1" showErrorMessage="1" error="Invalid selection. Options are: first-flogi-or-first-fdiscprecedence, second-flogi-or-secondfdisc- precedence, or first-flogi-or-second-fdiscprecedence" sqref="B15" xr:uid="{430FFB6A-4278-4F11-AFEA-1EC6E10ABE31}">
      <formula1>"first-flogi-or-first-fdisc-precedence,second-flogi-or-second-fdisc-precedence,first-flogi-or-second-fdisc-precedence"</formula1>
    </dataValidation>
    <dataValidation type="list" allowBlank="1" showInputMessage="1" showErrorMessage="1" error="Valid options are: Clear (empty cell), &quot;Enable&quot;, &quot;Disable&quot;, or Persistent Disable." sqref="B20 B4 B6" xr:uid="{716E94AA-67F8-4F3C-9940-49769C690AEB}">
      <formula1>"Enable,Disable,Persistent Disable"</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D02154CC-A1C7-4304-9A85-A0AA2B7EFF01}">
          <x14:formula1>
            <xm:f>lists!$D$2:$D$256</xm:f>
          </x14:formula1>
          <xm:sqref>B11</xm:sqref>
        </x14:dataValidation>
        <x14:dataValidation type="list" allowBlank="1" showInputMessage="1" showErrorMessage="1" xr:uid="{1B36DFFF-FCC3-47FB-8AB7-04392A6BE72C}">
          <x14:formula1>
            <xm:f>lists!$B$2:$B$129</xm:f>
          </x14:formula1>
          <xm:sqref>B3</xm:sqref>
        </x14:dataValidation>
        <x14:dataValidation type="list" allowBlank="1" showInputMessage="1" showErrorMessage="1" xr:uid="{4ABBA4C3-57A0-4EC6-A5D1-CFC48A9C6CAE}">
          <x14:formula1>
            <xm:f>lists!$A$2:$A$240</xm:f>
          </x14:formula1>
          <xm:sqref>B5</xm:sqref>
        </x14:dataValidation>
        <x14:dataValidation type="list" allowBlank="1" showInputMessage="1" showErrorMessage="1" xr:uid="{5DD59A46-FA83-47C1-AF78-01A68BD32856}">
          <x14:formula1>
            <xm:f>lists!$C$2:$C$4</xm:f>
          </x14:formula1>
          <xm:sqref>B14</xm:sqref>
        </x14:dataValidation>
        <x14:dataValidation type="list" allowBlank="1" showInputMessage="1" showErrorMessage="1" error="Valid options are: Clear (empty cell), &quot;Enable&quot;, &quot;Disable&quot;, or Persistent Disable." xr:uid="{77BA384C-6549-4997-A13A-34FF5CE323C8}">
          <x14:formula1>
            <xm:f>lists!$A$2:$A$240</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topLeftCell="A16" workbookViewId="0">
      <selection activeCell="C18" sqref="C18"/>
    </sheetView>
  </sheetViews>
  <sheetFormatPr defaultRowHeight="15" x14ac:dyDescent="0.25"/>
  <cols>
    <col min="1" max="1" width="20.5703125" style="2" customWidth="1"/>
    <col min="2" max="2" width="20.5703125" style="1" customWidth="1"/>
    <col min="3" max="3" width="80.5703125" style="2" customWidth="1"/>
  </cols>
  <sheetData>
    <row r="1" spans="1:3" x14ac:dyDescent="0.25">
      <c r="A1" s="3" t="s">
        <v>12</v>
      </c>
      <c r="B1" s="4" t="s">
        <v>13</v>
      </c>
      <c r="C1" s="3" t="s">
        <v>14</v>
      </c>
    </row>
    <row r="2" spans="1:3" x14ac:dyDescent="0.25">
      <c r="A2" s="5"/>
      <c r="B2" s="6"/>
      <c r="C2" s="5"/>
    </row>
    <row r="3" spans="1:3" ht="75" x14ac:dyDescent="0.25">
      <c r="A3" s="5" t="s">
        <v>15</v>
      </c>
      <c r="B3" s="6">
        <v>10</v>
      </c>
      <c r="C3" s="5" t="s">
        <v>360</v>
      </c>
    </row>
    <row r="4" spans="1:3" s="2" customFormat="1" ht="30" x14ac:dyDescent="0.25">
      <c r="A4" s="5" t="s">
        <v>357</v>
      </c>
      <c r="B4" s="6"/>
      <c r="C4" s="5" t="s">
        <v>359</v>
      </c>
    </row>
    <row r="5" spans="1:3" x14ac:dyDescent="0.25">
      <c r="A5" s="5" t="s">
        <v>303</v>
      </c>
      <c r="B5" s="6"/>
      <c r="C5" s="5" t="s">
        <v>382</v>
      </c>
    </row>
    <row r="6" spans="1:3" ht="30" x14ac:dyDescent="0.25">
      <c r="A6" s="5" t="s">
        <v>16</v>
      </c>
      <c r="B6" s="6" t="s">
        <v>401</v>
      </c>
      <c r="C6" s="5" t="s">
        <v>353</v>
      </c>
    </row>
    <row r="7" spans="1:3" ht="30" x14ac:dyDescent="0.25">
      <c r="A7" s="5" t="s">
        <v>17</v>
      </c>
      <c r="B7" s="6" t="s">
        <v>404</v>
      </c>
      <c r="C7" s="5" t="s">
        <v>383</v>
      </c>
    </row>
    <row r="8" spans="1:3" ht="60" x14ac:dyDescent="0.25">
      <c r="A8" s="5" t="s">
        <v>18</v>
      </c>
      <c r="B8" s="6" t="s">
        <v>71</v>
      </c>
      <c r="C8" s="5" t="s">
        <v>361</v>
      </c>
    </row>
    <row r="9" spans="1:3" ht="30" x14ac:dyDescent="0.25">
      <c r="A9" s="5" t="s">
        <v>270</v>
      </c>
      <c r="B9" s="6" t="s">
        <v>21</v>
      </c>
      <c r="C9" s="5" t="s">
        <v>354</v>
      </c>
    </row>
    <row r="10" spans="1:3" ht="45" x14ac:dyDescent="0.25">
      <c r="A10" s="5" t="s">
        <v>364</v>
      </c>
      <c r="B10" s="6" t="s">
        <v>21</v>
      </c>
      <c r="C10" s="5" t="s">
        <v>358</v>
      </c>
    </row>
    <row r="11" spans="1:3" ht="30" x14ac:dyDescent="0.25">
      <c r="A11" s="5" t="s">
        <v>293</v>
      </c>
      <c r="B11" s="6" t="s">
        <v>36</v>
      </c>
      <c r="C11" s="5" t="s">
        <v>355</v>
      </c>
    </row>
    <row r="12" spans="1:3" ht="30" x14ac:dyDescent="0.25">
      <c r="A12" s="5" t="s">
        <v>20</v>
      </c>
      <c r="B12" s="6" t="s">
        <v>21</v>
      </c>
      <c r="C12" s="5" t="s">
        <v>365</v>
      </c>
    </row>
    <row r="13" spans="1:3" ht="45" x14ac:dyDescent="0.25">
      <c r="A13" s="5" t="s">
        <v>22</v>
      </c>
      <c r="B13" s="10" t="s">
        <v>406</v>
      </c>
      <c r="C13" s="5" t="s">
        <v>409</v>
      </c>
    </row>
    <row r="14" spans="1:3" x14ac:dyDescent="0.25">
      <c r="A14" s="5" t="s">
        <v>266</v>
      </c>
      <c r="B14" s="6" t="s">
        <v>30</v>
      </c>
      <c r="C14" s="5" t="s">
        <v>366</v>
      </c>
    </row>
    <row r="15" spans="1:3" ht="150" x14ac:dyDescent="0.25">
      <c r="A15" s="5" t="s">
        <v>267</v>
      </c>
      <c r="B15" s="6" t="s">
        <v>410</v>
      </c>
      <c r="C15" s="5" t="s">
        <v>425</v>
      </c>
    </row>
    <row r="16" spans="1:3" ht="30" x14ac:dyDescent="0.25">
      <c r="A16" s="5" t="s">
        <v>268</v>
      </c>
      <c r="B16" s="6" t="s">
        <v>295</v>
      </c>
      <c r="C16" s="5" t="s">
        <v>367</v>
      </c>
    </row>
    <row r="17" spans="1:3" ht="30" x14ac:dyDescent="0.25">
      <c r="A17" s="5" t="s">
        <v>294</v>
      </c>
      <c r="B17" s="6" t="s">
        <v>274</v>
      </c>
      <c r="C17" s="5" t="s">
        <v>438</v>
      </c>
    </row>
    <row r="18" spans="1:3" x14ac:dyDescent="0.25">
      <c r="A18" s="5" t="s">
        <v>292</v>
      </c>
      <c r="B18" s="6" t="s">
        <v>392</v>
      </c>
      <c r="C18" s="5" t="s">
        <v>430</v>
      </c>
    </row>
    <row r="19" spans="1:3" ht="45" x14ac:dyDescent="0.25">
      <c r="A19" s="5" t="s">
        <v>298</v>
      </c>
      <c r="B19" s="6" t="s">
        <v>393</v>
      </c>
      <c r="C19" s="5" t="s">
        <v>299</v>
      </c>
    </row>
    <row r="20" spans="1:3" x14ac:dyDescent="0.25">
      <c r="A20" s="5" t="s">
        <v>296</v>
      </c>
      <c r="B20" s="6" t="s">
        <v>295</v>
      </c>
      <c r="C20" s="5" t="s">
        <v>297</v>
      </c>
    </row>
    <row r="21" spans="1:3" s="2" customFormat="1" ht="30" x14ac:dyDescent="0.25">
      <c r="A21" s="5" t="s">
        <v>357</v>
      </c>
      <c r="B21" s="6" t="s">
        <v>321</v>
      </c>
      <c r="C21" s="5" t="s">
        <v>386</v>
      </c>
    </row>
    <row r="22" spans="1:3" x14ac:dyDescent="0.25">
      <c r="A22" s="5" t="s">
        <v>356</v>
      </c>
      <c r="B22" s="6" t="s">
        <v>21</v>
      </c>
      <c r="C22" s="5" t="s">
        <v>385</v>
      </c>
    </row>
  </sheetData>
  <dataValidations count="7">
    <dataValidation type="list" allowBlank="1" showInputMessage="1" showErrorMessage="1" error="Invalid selection. Options are: first-flogi-or-first-fdiscprecedence, second-flogi-or-secondfdisc- precedence, or first-flogi-or-second-fdiscprecedence" sqref="B15" xr:uid="{00000000-0002-0000-0100-000000000000}">
      <formula1>"first-flogi-or-first-fdisc-precedence,second-flogi-or-second-fdisc-precedence,first-flogi-or-second-fdisc-precedence"</formula1>
    </dataValidation>
    <dataValidation type="list" allowBlank="1" showInputMessage="1" showErrorMessage="1" sqref="B16 B20:B21" xr:uid="{00000000-0002-0000-0100-000001000000}">
      <formula1>"Yes,No"</formula1>
    </dataValidation>
    <dataValidation type="list" allowBlank="1" showInputMessage="1" showErrorMessage="1" error="Must be off, default, fdmi, dynamic, open -n, ficon -n" sqref="B18" xr:uid="{00000000-0002-0000-0100-000002000000}">
      <formula1>"index,fdmi,dynamic,open, ficon"</formula1>
    </dataValidation>
    <dataValidation type="list" allowBlank="1" showInputMessage="1" showErrorMessage="1" error="Use Yes or No only." sqref="B9:B10 B12 B22" xr:uid="{D33E5E1E-31E0-4C7B-89AD-768C4BC7CD89}">
      <formula1>"Yes,No"</formula1>
    </dataValidation>
    <dataValidation allowBlank="1" showInputMessage="1" sqref="B5" xr:uid="{2EF408B5-1BBE-4DCA-B334-79AFB9BB61FA}"/>
    <dataValidation type="list" allowBlank="1" showInputMessage="1" showErrorMessage="1" error="Valid options are: Clear (empty cell), &quot;Enable&quot;, &quot;Disable&quot;, or Persistent Disable." sqref="B4 B21" xr:uid="{7E176B7D-588F-486F-AFBF-A126D3F625C8}">
      <formula1>"Enable,Disable,Persistent Disable"</formula1>
    </dataValidation>
    <dataValidation type="list" allowBlank="1" showInputMessage="1" showErrorMessage="1" sqref="B17" xr:uid="{C9EEC87D-801F-4C33-9E2B-C75D6D158DF5}">
      <formula1>"DBR,EBR"</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4000000}">
          <x14:formula1>
            <xm:f>lists!$C$2:$C$4</xm:f>
          </x14:formula1>
          <xm:sqref>B14</xm:sqref>
        </x14:dataValidation>
        <x14:dataValidation type="list" allowBlank="1" showInputMessage="1" showErrorMessage="1" xr:uid="{00000000-0002-0000-0100-000006000000}">
          <x14:formula1>
            <xm:f>lists!$A$2:$A$240</xm:f>
          </x14:formula1>
          <xm:sqref>B8</xm:sqref>
        </x14:dataValidation>
        <x14:dataValidation type="list" allowBlank="1" showInputMessage="1" showErrorMessage="1" xr:uid="{00000000-0002-0000-0100-000007000000}">
          <x14:formula1>
            <xm:f>lists!$B$2:$B$129</xm:f>
          </x14:formula1>
          <xm:sqref>B3</xm:sqref>
        </x14:dataValidation>
        <x14:dataValidation type="list" allowBlank="1" showInputMessage="1" showErrorMessage="1" xr:uid="{00000000-0002-0000-0100-000005000000}">
          <x14:formula1>
            <xm:f>lists!$D$2:$D$256</xm:f>
          </x14:formula1>
          <xm:sqref>B11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E8D8C-43C4-4441-BCB5-EB5763532C64}">
  <dimension ref="A1:C24"/>
  <sheetViews>
    <sheetView topLeftCell="A16" workbookViewId="0">
      <selection activeCell="C18" sqref="C18"/>
    </sheetView>
  </sheetViews>
  <sheetFormatPr defaultRowHeight="15" x14ac:dyDescent="0.25"/>
  <cols>
    <col min="1" max="1" width="20.5703125" style="2" customWidth="1"/>
    <col min="2" max="2" width="20.5703125" style="1" customWidth="1"/>
    <col min="3" max="3" width="80.5703125" style="2" customWidth="1"/>
  </cols>
  <sheetData>
    <row r="1" spans="1:3" x14ac:dyDescent="0.25">
      <c r="A1" s="3" t="s">
        <v>12</v>
      </c>
      <c r="B1" s="4" t="s">
        <v>13</v>
      </c>
      <c r="C1" s="3" t="s">
        <v>14</v>
      </c>
    </row>
    <row r="2" spans="1:3" x14ac:dyDescent="0.25">
      <c r="A2" s="5"/>
      <c r="B2" s="6"/>
      <c r="C2" s="5"/>
    </row>
    <row r="3" spans="1:3" ht="75" x14ac:dyDescent="0.25">
      <c r="A3" s="5" t="s">
        <v>15</v>
      </c>
      <c r="B3" s="6">
        <v>20</v>
      </c>
      <c r="C3" s="5" t="s">
        <v>360</v>
      </c>
    </row>
    <row r="4" spans="1:3" s="2" customFormat="1" ht="30" x14ac:dyDescent="0.25">
      <c r="A4" s="5" t="s">
        <v>357</v>
      </c>
      <c r="B4" s="6"/>
      <c r="C4" s="5" t="s">
        <v>359</v>
      </c>
    </row>
    <row r="5" spans="1:3" x14ac:dyDescent="0.25">
      <c r="A5" s="5" t="s">
        <v>303</v>
      </c>
      <c r="B5" s="6"/>
      <c r="C5" s="5" t="s">
        <v>382</v>
      </c>
    </row>
    <row r="6" spans="1:3" ht="30" x14ac:dyDescent="0.25">
      <c r="A6" s="5" t="s">
        <v>16</v>
      </c>
      <c r="B6" s="6" t="s">
        <v>403</v>
      </c>
      <c r="C6" s="5" t="s">
        <v>353</v>
      </c>
    </row>
    <row r="7" spans="1:3" ht="30" x14ac:dyDescent="0.25">
      <c r="A7" s="5" t="s">
        <v>17</v>
      </c>
      <c r="B7" s="6" t="s">
        <v>408</v>
      </c>
      <c r="C7" s="5" t="s">
        <v>383</v>
      </c>
    </row>
    <row r="8" spans="1:3" ht="60" x14ac:dyDescent="0.25">
      <c r="A8" s="5" t="s">
        <v>18</v>
      </c>
      <c r="B8" s="6" t="s">
        <v>73</v>
      </c>
      <c r="C8" s="5" t="s">
        <v>361</v>
      </c>
    </row>
    <row r="9" spans="1:3" ht="30" x14ac:dyDescent="0.25">
      <c r="A9" s="5" t="s">
        <v>270</v>
      </c>
      <c r="B9" s="6" t="s">
        <v>21</v>
      </c>
      <c r="C9" s="5" t="s">
        <v>354</v>
      </c>
    </row>
    <row r="10" spans="1:3" ht="45" x14ac:dyDescent="0.25">
      <c r="A10" s="5" t="s">
        <v>364</v>
      </c>
      <c r="B10" s="6" t="s">
        <v>21</v>
      </c>
      <c r="C10" s="5" t="s">
        <v>358</v>
      </c>
    </row>
    <row r="11" spans="1:3" ht="30" x14ac:dyDescent="0.25">
      <c r="A11" s="5" t="s">
        <v>293</v>
      </c>
      <c r="B11" s="6" t="s">
        <v>37</v>
      </c>
      <c r="C11" s="5" t="s">
        <v>355</v>
      </c>
    </row>
    <row r="12" spans="1:3" ht="30" x14ac:dyDescent="0.25">
      <c r="A12" s="5" t="s">
        <v>20</v>
      </c>
      <c r="B12" s="6" t="s">
        <v>295</v>
      </c>
      <c r="C12" s="5" t="s">
        <v>365</v>
      </c>
    </row>
    <row r="13" spans="1:3" ht="45" x14ac:dyDescent="0.25">
      <c r="A13" s="5" t="s">
        <v>22</v>
      </c>
      <c r="B13" s="10" t="s">
        <v>387</v>
      </c>
      <c r="C13" s="5" t="s">
        <v>409</v>
      </c>
    </row>
    <row r="14" spans="1:3" x14ac:dyDescent="0.25">
      <c r="A14" s="5" t="s">
        <v>266</v>
      </c>
      <c r="B14" s="6" t="s">
        <v>28</v>
      </c>
      <c r="C14" s="5" t="s">
        <v>366</v>
      </c>
    </row>
    <row r="15" spans="1:3" ht="150" x14ac:dyDescent="0.25">
      <c r="A15" s="5" t="s">
        <v>267</v>
      </c>
      <c r="B15" s="6" t="s">
        <v>411</v>
      </c>
      <c r="C15" s="5" t="s">
        <v>425</v>
      </c>
    </row>
    <row r="16" spans="1:3" ht="30" x14ac:dyDescent="0.25">
      <c r="A16" s="5" t="s">
        <v>268</v>
      </c>
      <c r="B16" s="6" t="s">
        <v>21</v>
      </c>
      <c r="C16" s="5" t="s">
        <v>367</v>
      </c>
    </row>
    <row r="17" spans="1:3" ht="60" x14ac:dyDescent="0.25">
      <c r="A17" s="5" t="s">
        <v>294</v>
      </c>
      <c r="B17" s="6" t="s">
        <v>274</v>
      </c>
      <c r="C17" s="5" t="s">
        <v>457</v>
      </c>
    </row>
    <row r="18" spans="1:3" x14ac:dyDescent="0.25">
      <c r="A18" s="5" t="s">
        <v>292</v>
      </c>
      <c r="B18" s="6" t="s">
        <v>28</v>
      </c>
      <c r="C18" s="5" t="s">
        <v>430</v>
      </c>
    </row>
    <row r="19" spans="1:3" ht="45" x14ac:dyDescent="0.25">
      <c r="A19" s="5" t="s">
        <v>298</v>
      </c>
      <c r="B19" s="6"/>
      <c r="C19" s="5" t="s">
        <v>299</v>
      </c>
    </row>
    <row r="20" spans="1:3" ht="75" x14ac:dyDescent="0.25">
      <c r="A20" s="5" t="s">
        <v>296</v>
      </c>
      <c r="B20" s="6" t="s">
        <v>295</v>
      </c>
      <c r="C20" s="5" t="s">
        <v>447</v>
      </c>
    </row>
    <row r="21" spans="1:3" s="2" customFormat="1" ht="30" x14ac:dyDescent="0.25">
      <c r="A21" s="5" t="s">
        <v>357</v>
      </c>
      <c r="B21" s="6" t="s">
        <v>321</v>
      </c>
      <c r="C21" s="5" t="s">
        <v>386</v>
      </c>
    </row>
    <row r="22" spans="1:3" ht="75" x14ac:dyDescent="0.25">
      <c r="A22" s="5" t="s">
        <v>458</v>
      </c>
      <c r="B22" s="6" t="s">
        <v>462</v>
      </c>
      <c r="C22" s="5" t="s">
        <v>463</v>
      </c>
    </row>
    <row r="23" spans="1:3" ht="60" x14ac:dyDescent="0.25">
      <c r="A23" s="5" t="s">
        <v>459</v>
      </c>
      <c r="B23" s="6" t="s">
        <v>461</v>
      </c>
      <c r="C23" s="5" t="s">
        <v>460</v>
      </c>
    </row>
    <row r="24" spans="1:3" x14ac:dyDescent="0.25">
      <c r="A24" s="5" t="s">
        <v>356</v>
      </c>
      <c r="B24" s="6" t="s">
        <v>21</v>
      </c>
      <c r="C24" s="5" t="s">
        <v>385</v>
      </c>
    </row>
  </sheetData>
  <dataValidations count="8">
    <dataValidation type="list" allowBlank="1" showInputMessage="1" showErrorMessage="1" sqref="B17" xr:uid="{8EA9E5F6-4230-4356-90AB-E4EDEE05C126}">
      <formula1>"DBR,EBR"</formula1>
    </dataValidation>
    <dataValidation type="list" allowBlank="1" showInputMessage="1" showErrorMessage="1" error="Valid options are: Clear (empty cell), &quot;Enable&quot;, &quot;Disable&quot;, or Persistent Disable." sqref="B4 B21" xr:uid="{62D164C1-776A-49D9-B406-EF64BA679BA4}">
      <formula1>"Enable,Disable,Persistent Disable"</formula1>
    </dataValidation>
    <dataValidation allowBlank="1" showInputMessage="1" sqref="B5" xr:uid="{37EAFF01-1551-41EF-82E7-76056F28C2CA}"/>
    <dataValidation type="list" allowBlank="1" showInputMessage="1" showErrorMessage="1" error="Use Yes or No only." sqref="B9:B10 B12 B24" xr:uid="{598B2B3F-BAE2-4D0C-8FDB-611CBE8DC835}">
      <formula1>"Yes,No"</formula1>
    </dataValidation>
    <dataValidation type="list" allowBlank="1" showInputMessage="1" showErrorMessage="1" error="Must be off, default, fdmi, dynamic, open -n, ficon -n" sqref="B18" xr:uid="{6D9C47CD-5234-4816-9148-0A3EC8EEAF07}">
      <formula1>"index,fdmi,dynamic,open, ficon"</formula1>
    </dataValidation>
    <dataValidation type="list" allowBlank="1" showInputMessage="1" showErrorMessage="1" sqref="B16 B20:B21" xr:uid="{8BC65573-FC06-48F8-83BC-E8F49EFBC5E1}">
      <formula1>"Yes,No"</formula1>
    </dataValidation>
    <dataValidation type="list" allowBlank="1" showInputMessage="1" showErrorMessage="1" error="Invalid selection. Options are: first-flogi-or-first-fdiscprecedence, second-flogi-or-secondfdisc- precedence, or first-flogi-or-second-fdiscprecedence" sqref="B15" xr:uid="{94BD5425-8D5C-4CAD-B070-A15F4D1D9792}">
      <formula1>"first-flogi-or-first-fdisc-precedence,second-flogi-or-second-fdisc-precedence,first-flogi-or-second-fdisc-precedence"</formula1>
    </dataValidation>
    <dataValidation type="list" allowBlank="1" showInputMessage="1" showErrorMessage="1" error="Zoning method must be all, all_f, or device" sqref="B23" xr:uid="{3EED8882-FA83-4568-A50B-AF40E0FE76FD}">
      <formula1>"all,all_f,device"</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0CE4803-A367-4EE4-BD14-325E66BED302}">
          <x14:formula1>
            <xm:f>lists!$D$2:$D$256</xm:f>
          </x14:formula1>
          <xm:sqref>B11</xm:sqref>
        </x14:dataValidation>
        <x14:dataValidation type="list" allowBlank="1" showInputMessage="1" showErrorMessage="1" xr:uid="{ADC4E6B4-3197-463D-BD42-E9AC798E1B50}">
          <x14:formula1>
            <xm:f>lists!$B$2:$B$129</xm:f>
          </x14:formula1>
          <xm:sqref>B3</xm:sqref>
        </x14:dataValidation>
        <x14:dataValidation type="list" allowBlank="1" showInputMessage="1" showErrorMessage="1" xr:uid="{8C6B6780-09DD-4DB6-9079-925CD8213B51}">
          <x14:formula1>
            <xm:f>lists!$A$2:$A$240</xm:f>
          </x14:formula1>
          <xm:sqref>B8</xm:sqref>
        </x14:dataValidation>
        <x14:dataValidation type="list" allowBlank="1" showInputMessage="1" showErrorMessage="1" xr:uid="{38BA51A9-A4F4-4FCA-8026-3B3487612EC8}">
          <x14:formula1>
            <xm:f>lists!$C$2:$C$4</xm:f>
          </x14:formula1>
          <xm:sqref>B14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1652B-59FD-438D-AA29-D12B703FE0F3}">
  <dimension ref="A1:C22"/>
  <sheetViews>
    <sheetView topLeftCell="A16" workbookViewId="0">
      <selection activeCell="C18" sqref="C18"/>
    </sheetView>
  </sheetViews>
  <sheetFormatPr defaultRowHeight="15" x14ac:dyDescent="0.25"/>
  <cols>
    <col min="1" max="1" width="20.5703125" style="2" customWidth="1"/>
    <col min="2" max="2" width="20.5703125" style="1" customWidth="1"/>
    <col min="3" max="3" width="80.5703125" style="2" customWidth="1"/>
  </cols>
  <sheetData>
    <row r="1" spans="1:3" x14ac:dyDescent="0.25">
      <c r="A1" s="3" t="s">
        <v>12</v>
      </c>
      <c r="B1" s="4" t="s">
        <v>13</v>
      </c>
      <c r="C1" s="3" t="s">
        <v>14</v>
      </c>
    </row>
    <row r="2" spans="1:3" x14ac:dyDescent="0.25">
      <c r="A2" s="5"/>
      <c r="B2" s="6"/>
      <c r="C2" s="5"/>
    </row>
    <row r="3" spans="1:3" ht="75" x14ac:dyDescent="0.25">
      <c r="A3" s="5" t="s">
        <v>15</v>
      </c>
      <c r="B3" s="6">
        <v>30</v>
      </c>
      <c r="C3" s="5" t="s">
        <v>360</v>
      </c>
    </row>
    <row r="4" spans="1:3" s="2" customFormat="1" ht="30" x14ac:dyDescent="0.25">
      <c r="A4" s="5" t="s">
        <v>357</v>
      </c>
      <c r="B4" s="6" t="s">
        <v>400</v>
      </c>
      <c r="C4" s="5" t="s">
        <v>359</v>
      </c>
    </row>
    <row r="5" spans="1:3" x14ac:dyDescent="0.25">
      <c r="A5" s="5" t="s">
        <v>303</v>
      </c>
      <c r="B5" s="6"/>
      <c r="C5" s="5" t="s">
        <v>382</v>
      </c>
    </row>
    <row r="6" spans="1:3" ht="30" x14ac:dyDescent="0.25">
      <c r="A6" s="5" t="s">
        <v>16</v>
      </c>
      <c r="B6" s="6" t="s">
        <v>402</v>
      </c>
      <c r="C6" s="5" t="s">
        <v>353</v>
      </c>
    </row>
    <row r="7" spans="1:3" ht="30" x14ac:dyDescent="0.25">
      <c r="A7" s="5" t="s">
        <v>17</v>
      </c>
      <c r="B7" s="6" t="s">
        <v>405</v>
      </c>
      <c r="C7" s="5" t="s">
        <v>383</v>
      </c>
    </row>
    <row r="8" spans="1:3" ht="60" x14ac:dyDescent="0.25">
      <c r="A8" s="5" t="s">
        <v>18</v>
      </c>
      <c r="B8" s="6" t="s">
        <v>19</v>
      </c>
      <c r="C8" s="5" t="s">
        <v>361</v>
      </c>
    </row>
    <row r="9" spans="1:3" ht="30" x14ac:dyDescent="0.25">
      <c r="A9" s="5" t="s">
        <v>270</v>
      </c>
      <c r="B9" s="6" t="s">
        <v>295</v>
      </c>
      <c r="C9" s="5" t="s">
        <v>354</v>
      </c>
    </row>
    <row r="10" spans="1:3" ht="45" x14ac:dyDescent="0.25">
      <c r="A10" s="5" t="s">
        <v>364</v>
      </c>
      <c r="B10" s="6" t="s">
        <v>295</v>
      </c>
      <c r="C10" s="5" t="s">
        <v>431</v>
      </c>
    </row>
    <row r="11" spans="1:3" ht="30" x14ac:dyDescent="0.25">
      <c r="A11" s="5" t="s">
        <v>293</v>
      </c>
      <c r="B11" s="6"/>
      <c r="C11" s="5" t="s">
        <v>432</v>
      </c>
    </row>
    <row r="12" spans="1:3" x14ac:dyDescent="0.25">
      <c r="A12" s="5" t="s">
        <v>20</v>
      </c>
      <c r="B12" s="6"/>
      <c r="C12" s="5" t="s">
        <v>428</v>
      </c>
    </row>
    <row r="13" spans="1:3" ht="45" x14ac:dyDescent="0.25">
      <c r="A13" s="5" t="s">
        <v>22</v>
      </c>
      <c r="B13" s="10" t="s">
        <v>388</v>
      </c>
      <c r="C13" s="5" t="s">
        <v>409</v>
      </c>
    </row>
    <row r="14" spans="1:3" x14ac:dyDescent="0.25">
      <c r="A14" s="5" t="s">
        <v>266</v>
      </c>
      <c r="B14" s="6" t="s">
        <v>26</v>
      </c>
      <c r="C14" s="5" t="s">
        <v>429</v>
      </c>
    </row>
    <row r="15" spans="1:3" ht="60" x14ac:dyDescent="0.25">
      <c r="A15" s="5" t="s">
        <v>267</v>
      </c>
      <c r="B15" s="6" t="s">
        <v>411</v>
      </c>
      <c r="C15" s="5" t="s">
        <v>426</v>
      </c>
    </row>
    <row r="16" spans="1:3" ht="30" x14ac:dyDescent="0.25">
      <c r="A16" s="5" t="s">
        <v>268</v>
      </c>
      <c r="B16" s="6" t="s">
        <v>295</v>
      </c>
      <c r="C16" s="5" t="s">
        <v>427</v>
      </c>
    </row>
    <row r="17" spans="1:3" ht="120" x14ac:dyDescent="0.25">
      <c r="A17" s="5" t="s">
        <v>294</v>
      </c>
      <c r="B17" s="6" t="s">
        <v>274</v>
      </c>
      <c r="C17" s="5" t="s">
        <v>456</v>
      </c>
    </row>
    <row r="18" spans="1:3" x14ac:dyDescent="0.25">
      <c r="A18" s="5" t="s">
        <v>292</v>
      </c>
      <c r="B18" s="6" t="s">
        <v>30</v>
      </c>
      <c r="C18" s="5" t="s">
        <v>430</v>
      </c>
    </row>
    <row r="19" spans="1:3" x14ac:dyDescent="0.25">
      <c r="A19" s="5" t="s">
        <v>298</v>
      </c>
      <c r="B19" s="6"/>
      <c r="C19" s="5" t="s">
        <v>430</v>
      </c>
    </row>
    <row r="20" spans="1:3" ht="30" x14ac:dyDescent="0.25">
      <c r="A20" s="5" t="s">
        <v>296</v>
      </c>
      <c r="B20" s="6"/>
      <c r="C20" s="5" t="s">
        <v>433</v>
      </c>
    </row>
    <row r="21" spans="1:3" s="2" customFormat="1" x14ac:dyDescent="0.25">
      <c r="A21" s="5" t="s">
        <v>357</v>
      </c>
      <c r="B21" s="6" t="s">
        <v>321</v>
      </c>
      <c r="C21" s="5" t="s">
        <v>415</v>
      </c>
    </row>
    <row r="22" spans="1:3" x14ac:dyDescent="0.25">
      <c r="A22" s="5" t="s">
        <v>356</v>
      </c>
      <c r="B22" s="6" t="s">
        <v>21</v>
      </c>
      <c r="C22" s="5" t="s">
        <v>385</v>
      </c>
    </row>
  </sheetData>
  <dataValidations count="7">
    <dataValidation type="list" allowBlank="1" showInputMessage="1" showErrorMessage="1" sqref="B17" xr:uid="{99D85BC5-7F89-4140-BF52-B6C23D01E589}">
      <formula1>"DBR,EBR"</formula1>
    </dataValidation>
    <dataValidation type="list" allowBlank="1" showInputMessage="1" showErrorMessage="1" error="Valid options are: Clear (empty cell), &quot;Enable&quot;, &quot;Disable&quot;, or Persistent Disable." sqref="B4 B21" xr:uid="{9DCB6F23-3354-4A6D-BDE9-3AD36195C807}">
      <formula1>"Enable,Disable,Persistent Disable"</formula1>
    </dataValidation>
    <dataValidation allowBlank="1" showInputMessage="1" sqref="B5" xr:uid="{B23D6E27-6848-480D-8C6B-B66DDF772718}"/>
    <dataValidation type="list" allowBlank="1" showInputMessage="1" showErrorMessage="1" error="Use Yes or No only." sqref="B9:B10 B12 B22" xr:uid="{066F2A85-C418-42C6-9240-209CF5F230C8}">
      <formula1>"Yes,No"</formula1>
    </dataValidation>
    <dataValidation type="list" allowBlank="1" showInputMessage="1" showErrorMessage="1" error="Must be off, default, fdmi, dynamic, open -n, ficon -n" sqref="B18" xr:uid="{3A85A48A-BFAF-4B41-8E00-19856B84B51F}">
      <formula1>"index,fdmi,dynamic,open, ficon"</formula1>
    </dataValidation>
    <dataValidation type="list" allowBlank="1" showInputMessage="1" showErrorMessage="1" sqref="B16 B20:B21" xr:uid="{616DBFEF-DBBB-4B39-A0CC-2CAAD44FB6FC}">
      <formula1>"Yes,No"</formula1>
    </dataValidation>
    <dataValidation type="list" allowBlank="1" showInputMessage="1" showErrorMessage="1" error="Invalid selection. Options are: first-flogi-or-first-fdiscprecedence, second-flogi-or-secondfdisc- precedence, or first-flogi-or-second-fdiscprecedence" sqref="B15" xr:uid="{4C91CFEC-FB48-44CC-8B24-DF3FF33CA16B}">
      <formula1>"first-flogi-or-first-fdisc-precedence,second-flogi-or-second-fdisc-precedence,first-flogi-or-second-fdisc-precedence"</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B7255E79-9CFF-4CD4-8108-37D73DA1ACA9}">
          <x14:formula1>
            <xm:f>lists!$D$2:$D$256</xm:f>
          </x14:formula1>
          <xm:sqref>B11</xm:sqref>
        </x14:dataValidation>
        <x14:dataValidation type="list" allowBlank="1" showInputMessage="1" showErrorMessage="1" xr:uid="{2CE22DA5-BC30-45CD-80AA-239C881BA0E5}">
          <x14:formula1>
            <xm:f>lists!$B$2:$B$129</xm:f>
          </x14:formula1>
          <xm:sqref>B3</xm:sqref>
        </x14:dataValidation>
        <x14:dataValidation type="list" allowBlank="1" showInputMessage="1" showErrorMessage="1" xr:uid="{E586A3C2-E82E-474C-84BA-397C46147FF3}">
          <x14:formula1>
            <xm:f>lists!$A$2:$A$240</xm:f>
          </x14:formula1>
          <xm:sqref>B8</xm:sqref>
        </x14:dataValidation>
        <x14:dataValidation type="list" allowBlank="1" showInputMessage="1" showErrorMessage="1" xr:uid="{4B4EB36B-F6B6-49B2-8B81-1ADDE0ACA482}">
          <x14:formula1>
            <xm:f>lists!$C$2:$C$4</xm:f>
          </x14:formula1>
          <xm:sqref>B14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B1:P131"/>
  <sheetViews>
    <sheetView tabSelected="1" topLeftCell="A94" workbookViewId="0">
      <selection activeCell="I136" sqref="I136"/>
    </sheetView>
  </sheetViews>
  <sheetFormatPr defaultRowHeight="15" x14ac:dyDescent="0.25"/>
  <cols>
    <col min="1" max="1" width="2.85546875" customWidth="1"/>
    <col min="2" max="2" width="4.85546875" style="12" customWidth="1"/>
    <col min="3" max="5" width="5.85546875" style="12" customWidth="1"/>
    <col min="6" max="6" width="6.85546875" style="12" customWidth="1"/>
    <col min="7" max="7" width="4.5703125" style="13" customWidth="1"/>
    <col min="8" max="8" width="8.7109375" style="13" customWidth="1"/>
    <col min="9" max="9" width="40" style="14" customWidth="1"/>
    <col min="10" max="10" width="17.7109375" style="13" customWidth="1"/>
    <col min="11" max="11" width="8.7109375" style="13" customWidth="1"/>
    <col min="12" max="13" width="20.7109375" style="14" customWidth="1"/>
    <col min="14" max="16" width="4.85546875" style="13" customWidth="1"/>
  </cols>
  <sheetData>
    <row r="1" spans="2:16" x14ac:dyDescent="0.25">
      <c r="B1" s="24" t="s">
        <v>269</v>
      </c>
      <c r="C1" s="25"/>
      <c r="D1" s="25"/>
      <c r="E1" s="25"/>
      <c r="F1" s="25"/>
      <c r="G1" s="25"/>
      <c r="H1" s="25"/>
      <c r="I1" s="25"/>
      <c r="J1" s="25"/>
      <c r="K1" s="25"/>
      <c r="L1" s="25"/>
      <c r="M1" s="25"/>
      <c r="N1" s="25"/>
      <c r="O1" s="25"/>
      <c r="P1" s="25"/>
    </row>
    <row r="2" spans="2:16" s="1" customFormat="1" ht="60" x14ac:dyDescent="0.25">
      <c r="B2" s="11" t="s">
        <v>0</v>
      </c>
      <c r="C2" s="11" t="s">
        <v>4</v>
      </c>
      <c r="D2" s="11" t="s">
        <v>5</v>
      </c>
      <c r="E2" s="11" t="s">
        <v>291</v>
      </c>
      <c r="F2" s="11" t="s">
        <v>3</v>
      </c>
      <c r="G2" s="11" t="s">
        <v>2</v>
      </c>
      <c r="H2" s="11" t="s">
        <v>347</v>
      </c>
      <c r="I2" s="11" t="s">
        <v>303</v>
      </c>
      <c r="J2" s="11" t="s">
        <v>348</v>
      </c>
      <c r="K2" s="11" t="s">
        <v>363</v>
      </c>
      <c r="L2" s="11" t="s">
        <v>1</v>
      </c>
      <c r="M2" s="11" t="s">
        <v>292</v>
      </c>
      <c r="N2" s="11" t="s">
        <v>6</v>
      </c>
      <c r="O2" s="11" t="s">
        <v>7</v>
      </c>
      <c r="P2" s="11" t="s">
        <v>8</v>
      </c>
    </row>
    <row r="3" spans="2:16" ht="6" customHeight="1" x14ac:dyDescent="0.25"/>
    <row r="4" spans="2:16" ht="15" customHeight="1" x14ac:dyDescent="0.25">
      <c r="B4" s="15">
        <f t="shared" ref="B4:B67" si="0">B5+1</f>
        <v>127</v>
      </c>
      <c r="C4" s="15" t="str">
        <f t="shared" ref="C4:C35" si="1">C5</f>
        <v>1</v>
      </c>
      <c r="D4" s="15" t="str">
        <f t="shared" ref="D4:D67" si="2">DEC2HEX(HEX2DEC(D5)+1)</f>
        <v>7F</v>
      </c>
      <c r="E4" s="15">
        <f t="shared" ref="E4:E35" si="3">B4</f>
        <v>127</v>
      </c>
      <c r="F4" s="16" t="str">
        <f t="shared" ref="F4:F35" si="4">IF(HEX2DEC(D4)&gt;15,IF(HEX2DEC(C4) &gt; 15,CONCATENATE(C4,D4),CONCATENATE("0",C4,D4)),IF(HEX2DEC(C4) &gt; 15,CONCATENATE(C4,"0",D4),CONCATENATE("0",C4,"0",D4)))</f>
        <v>017F</v>
      </c>
      <c r="G4" s="16"/>
      <c r="H4" s="17"/>
      <c r="I4" s="18"/>
      <c r="J4" s="17"/>
      <c r="K4" s="16"/>
      <c r="L4" s="18"/>
      <c r="M4" s="18"/>
      <c r="N4" s="16">
        <f>LOOKUP(HEX2DEC(MID(F4,4,1)),VC!A1:C16)</f>
        <v>9</v>
      </c>
      <c r="O4" s="16">
        <f>LOOKUP(HEX2DEC(MID(F4,4,1)),VC!A1:B16)</f>
        <v>5</v>
      </c>
      <c r="P4" s="16">
        <f>LOOKUP(HEX2DEC(MID(F4,4,1)),VC!A1:D16)</f>
        <v>10</v>
      </c>
    </row>
    <row r="5" spans="2:16" ht="15" customHeight="1" x14ac:dyDescent="0.25">
      <c r="B5" s="15">
        <f t="shared" si="0"/>
        <v>126</v>
      </c>
      <c r="C5" s="15" t="str">
        <f t="shared" si="1"/>
        <v>1</v>
      </c>
      <c r="D5" s="15" t="str">
        <f t="shared" si="2"/>
        <v>7E</v>
      </c>
      <c r="E5" s="15">
        <f t="shared" si="3"/>
        <v>126</v>
      </c>
      <c r="F5" s="16" t="str">
        <f t="shared" si="4"/>
        <v>017E</v>
      </c>
      <c r="G5" s="16"/>
      <c r="H5" s="17"/>
      <c r="I5" s="18"/>
      <c r="J5" s="17"/>
      <c r="K5" s="16"/>
      <c r="L5" s="18"/>
      <c r="M5" s="18"/>
      <c r="N5" s="16">
        <f>LOOKUP(HEX2DEC(MID(F5,4,1)),VC!A1:C16)</f>
        <v>8</v>
      </c>
      <c r="O5" s="16">
        <f>LOOKUP(HEX2DEC(MID(F5,4,1)),VC!A1:B16)</f>
        <v>4</v>
      </c>
      <c r="P5" s="16">
        <f>LOOKUP(HEX2DEC(MID(F5,4,1)),VC!A1:D16)</f>
        <v>14</v>
      </c>
    </row>
    <row r="6" spans="2:16" ht="15" customHeight="1" x14ac:dyDescent="0.25">
      <c r="B6" s="15">
        <f t="shared" si="0"/>
        <v>125</v>
      </c>
      <c r="C6" s="15" t="str">
        <f t="shared" si="1"/>
        <v>1</v>
      </c>
      <c r="D6" s="15" t="str">
        <f t="shared" si="2"/>
        <v>7D</v>
      </c>
      <c r="E6" s="15">
        <f t="shared" si="3"/>
        <v>125</v>
      </c>
      <c r="F6" s="16" t="str">
        <f t="shared" si="4"/>
        <v>017D</v>
      </c>
      <c r="G6" s="16"/>
      <c r="H6" s="17"/>
      <c r="I6" s="18"/>
      <c r="J6" s="17"/>
      <c r="K6" s="16"/>
      <c r="L6" s="18"/>
      <c r="M6" s="18"/>
      <c r="N6" s="16">
        <f>LOOKUP(HEX2DEC(MID(F6,4,1)),VC!A1:C16)</f>
        <v>9</v>
      </c>
      <c r="O6" s="16">
        <f>LOOKUP(HEX2DEC(MID(F6,4,1)),VC!A1:B16)</f>
        <v>3</v>
      </c>
      <c r="P6" s="16">
        <f>LOOKUP(HEX2DEC(MID(F6,4,1)),VC!A1:D16)</f>
        <v>13</v>
      </c>
    </row>
    <row r="7" spans="2:16" ht="15" customHeight="1" x14ac:dyDescent="0.25">
      <c r="B7" s="15">
        <f t="shared" si="0"/>
        <v>124</v>
      </c>
      <c r="C7" s="15" t="str">
        <f t="shared" si="1"/>
        <v>1</v>
      </c>
      <c r="D7" s="15" t="str">
        <f t="shared" si="2"/>
        <v>7C</v>
      </c>
      <c r="E7" s="15">
        <f t="shared" si="3"/>
        <v>124</v>
      </c>
      <c r="F7" s="16" t="str">
        <f t="shared" si="4"/>
        <v>017C</v>
      </c>
      <c r="G7" s="16"/>
      <c r="H7" s="17"/>
      <c r="I7" s="18"/>
      <c r="J7" s="17"/>
      <c r="K7" s="16"/>
      <c r="L7" s="18"/>
      <c r="M7" s="18"/>
      <c r="N7" s="16">
        <f>LOOKUP(HEX2DEC(MID(F7,4,1)),VC!A1:C16)</f>
        <v>8</v>
      </c>
      <c r="O7" s="16">
        <f>LOOKUP(HEX2DEC(MID(F7,4,1)),VC!A1:B16)</f>
        <v>2</v>
      </c>
      <c r="P7" s="16">
        <f>LOOKUP(HEX2DEC(MID(F7,4,1)),VC!A1:D16)</f>
        <v>12</v>
      </c>
    </row>
    <row r="8" spans="2:16" ht="15" customHeight="1" x14ac:dyDescent="0.25">
      <c r="B8" s="15">
        <f t="shared" si="0"/>
        <v>123</v>
      </c>
      <c r="C8" s="15" t="str">
        <f t="shared" si="1"/>
        <v>1</v>
      </c>
      <c r="D8" s="15" t="str">
        <f t="shared" si="2"/>
        <v>7B</v>
      </c>
      <c r="E8" s="15">
        <f t="shared" si="3"/>
        <v>123</v>
      </c>
      <c r="F8" s="16" t="str">
        <f t="shared" si="4"/>
        <v>017B</v>
      </c>
      <c r="G8" s="16"/>
      <c r="H8" s="17"/>
      <c r="I8" s="18"/>
      <c r="J8" s="17"/>
      <c r="K8" s="16"/>
      <c r="L8" s="18"/>
      <c r="M8" s="18"/>
      <c r="N8" s="16">
        <f>LOOKUP(HEX2DEC(MID(F8,4,1)),VC!A1:C16)</f>
        <v>9</v>
      </c>
      <c r="O8" s="16">
        <f>LOOKUP(HEX2DEC(MID(F8,4,1)),VC!A1:B16)</f>
        <v>5</v>
      </c>
      <c r="P8" s="16">
        <f>LOOKUP(HEX2DEC(MID(F8,4,1)),VC!A1:D16)</f>
        <v>11</v>
      </c>
    </row>
    <row r="9" spans="2:16" ht="15" customHeight="1" x14ac:dyDescent="0.25">
      <c r="B9" s="15">
        <f t="shared" si="0"/>
        <v>122</v>
      </c>
      <c r="C9" s="15" t="str">
        <f t="shared" si="1"/>
        <v>1</v>
      </c>
      <c r="D9" s="15" t="str">
        <f t="shared" si="2"/>
        <v>7A</v>
      </c>
      <c r="E9" s="15">
        <f t="shared" si="3"/>
        <v>122</v>
      </c>
      <c r="F9" s="16" t="str">
        <f t="shared" si="4"/>
        <v>017A</v>
      </c>
      <c r="G9" s="16"/>
      <c r="H9" s="17"/>
      <c r="I9" s="18"/>
      <c r="J9" s="17"/>
      <c r="K9" s="16"/>
      <c r="L9" s="18"/>
      <c r="M9" s="18"/>
      <c r="N9" s="16">
        <f>LOOKUP(HEX2DEC(MID(F9,4,1)),VC!A1:C16)</f>
        <v>8</v>
      </c>
      <c r="O9" s="16">
        <f>LOOKUP(HEX2DEC(MID(F9,4,1)),VC!A1:B16)</f>
        <v>4</v>
      </c>
      <c r="P9" s="16">
        <f>LOOKUP(HEX2DEC(MID(F9,4,1)),VC!A1:D16)</f>
        <v>10</v>
      </c>
    </row>
    <row r="10" spans="2:16" ht="15" customHeight="1" x14ac:dyDescent="0.25">
      <c r="B10" s="15">
        <f t="shared" si="0"/>
        <v>121</v>
      </c>
      <c r="C10" s="15" t="str">
        <f t="shared" si="1"/>
        <v>1</v>
      </c>
      <c r="D10" s="15" t="str">
        <f t="shared" si="2"/>
        <v>79</v>
      </c>
      <c r="E10" s="15">
        <f t="shared" si="3"/>
        <v>121</v>
      </c>
      <c r="F10" s="16" t="str">
        <f t="shared" si="4"/>
        <v>0179</v>
      </c>
      <c r="G10" s="16"/>
      <c r="H10" s="17"/>
      <c r="I10" s="18"/>
      <c r="J10" s="17"/>
      <c r="K10" s="16"/>
      <c r="L10" s="18"/>
      <c r="M10" s="18"/>
      <c r="N10" s="16">
        <f>LOOKUP(HEX2DEC(MID(F10,4,1)),VC!A1:C16)</f>
        <v>9</v>
      </c>
      <c r="O10" s="16">
        <f>LOOKUP(HEX2DEC(MID(F10,4,1)),VC!A1:B16)</f>
        <v>3</v>
      </c>
      <c r="P10" s="16">
        <f>LOOKUP(HEX2DEC(MID(F10,4,1)),VC!A1:D16)</f>
        <v>14</v>
      </c>
    </row>
    <row r="11" spans="2:16" ht="15" customHeight="1" x14ac:dyDescent="0.25">
      <c r="B11" s="15">
        <f t="shared" si="0"/>
        <v>120</v>
      </c>
      <c r="C11" s="15" t="str">
        <f t="shared" si="1"/>
        <v>1</v>
      </c>
      <c r="D11" s="15" t="str">
        <f t="shared" si="2"/>
        <v>78</v>
      </c>
      <c r="E11" s="15">
        <f t="shared" si="3"/>
        <v>120</v>
      </c>
      <c r="F11" s="16" t="str">
        <f t="shared" si="4"/>
        <v>0178</v>
      </c>
      <c r="G11" s="16"/>
      <c r="H11" s="17"/>
      <c r="I11" s="18"/>
      <c r="J11" s="17"/>
      <c r="K11" s="16"/>
      <c r="L11" s="18"/>
      <c r="M11" s="18"/>
      <c r="N11" s="16">
        <f>LOOKUP(HEX2DEC(MID(F11,4,1)),VC!A1:C16)</f>
        <v>8</v>
      </c>
      <c r="O11" s="16">
        <f>LOOKUP(HEX2DEC(MID(F11,4,1)),VC!A1:B16)</f>
        <v>2</v>
      </c>
      <c r="P11" s="16">
        <f>LOOKUP(HEX2DEC(MID(F11,4,1)),VC!A1:D16)</f>
        <v>13</v>
      </c>
    </row>
    <row r="12" spans="2:16" ht="15" customHeight="1" x14ac:dyDescent="0.25">
      <c r="B12" s="15">
        <f t="shared" si="0"/>
        <v>119</v>
      </c>
      <c r="C12" s="15" t="str">
        <f t="shared" si="1"/>
        <v>1</v>
      </c>
      <c r="D12" s="15" t="str">
        <f t="shared" si="2"/>
        <v>77</v>
      </c>
      <c r="E12" s="15">
        <f t="shared" si="3"/>
        <v>119</v>
      </c>
      <c r="F12" s="16" t="str">
        <f t="shared" si="4"/>
        <v>0177</v>
      </c>
      <c r="G12" s="16"/>
      <c r="H12" s="17"/>
      <c r="I12" s="18"/>
      <c r="J12" s="17"/>
      <c r="K12" s="16"/>
      <c r="L12" s="18"/>
      <c r="M12" s="18"/>
      <c r="N12" s="16">
        <f>LOOKUP(HEX2DEC(MID(F12,4,1)),VC!A1:C16)</f>
        <v>9</v>
      </c>
      <c r="O12" s="16">
        <f>LOOKUP(HEX2DEC(MID(F12,4,1)),VC!A1:B16)</f>
        <v>5</v>
      </c>
      <c r="P12" s="16">
        <f>LOOKUP(HEX2DEC(MID(F12,4,1)),VC!A1:D16)</f>
        <v>12</v>
      </c>
    </row>
    <row r="13" spans="2:16" ht="15" customHeight="1" x14ac:dyDescent="0.25">
      <c r="B13" s="15">
        <f t="shared" si="0"/>
        <v>118</v>
      </c>
      <c r="C13" s="15" t="str">
        <f t="shared" si="1"/>
        <v>1</v>
      </c>
      <c r="D13" s="15" t="str">
        <f t="shared" si="2"/>
        <v>76</v>
      </c>
      <c r="E13" s="15">
        <f t="shared" si="3"/>
        <v>118</v>
      </c>
      <c r="F13" s="16" t="str">
        <f t="shared" si="4"/>
        <v>0176</v>
      </c>
      <c r="G13" s="16"/>
      <c r="H13" s="17"/>
      <c r="I13" s="18"/>
      <c r="J13" s="17"/>
      <c r="K13" s="16"/>
      <c r="L13" s="18"/>
      <c r="M13" s="18"/>
      <c r="N13" s="16">
        <f>LOOKUP(HEX2DEC(MID(F13,4,1)),VC!A1:C16)</f>
        <v>8</v>
      </c>
      <c r="O13" s="16">
        <f>LOOKUP(HEX2DEC(MID(F13,4,1)),VC!A1:B16)</f>
        <v>4</v>
      </c>
      <c r="P13" s="16">
        <f>LOOKUP(HEX2DEC(MID(F13,4,1)),VC!A1:D16)</f>
        <v>11</v>
      </c>
    </row>
    <row r="14" spans="2:16" ht="15" customHeight="1" x14ac:dyDescent="0.25">
      <c r="B14" s="15">
        <f t="shared" si="0"/>
        <v>117</v>
      </c>
      <c r="C14" s="15" t="str">
        <f t="shared" si="1"/>
        <v>1</v>
      </c>
      <c r="D14" s="15" t="str">
        <f t="shared" si="2"/>
        <v>75</v>
      </c>
      <c r="E14" s="15">
        <f t="shared" si="3"/>
        <v>117</v>
      </c>
      <c r="F14" s="16" t="str">
        <f t="shared" si="4"/>
        <v>0175</v>
      </c>
      <c r="G14" s="16"/>
      <c r="H14" s="17"/>
      <c r="I14" s="18"/>
      <c r="J14" s="17"/>
      <c r="K14" s="16"/>
      <c r="L14" s="18"/>
      <c r="M14" s="18"/>
      <c r="N14" s="16">
        <f>LOOKUP(HEX2DEC(MID(F14,4,1)),VC!A1:C16)</f>
        <v>9</v>
      </c>
      <c r="O14" s="16">
        <f>LOOKUP(HEX2DEC(MID(F14,4,1)),VC!A1:B16)</f>
        <v>3</v>
      </c>
      <c r="P14" s="16">
        <f>LOOKUP(HEX2DEC(MID(F14,4,1)),VC!A1:D16)</f>
        <v>10</v>
      </c>
    </row>
    <row r="15" spans="2:16" ht="15" customHeight="1" x14ac:dyDescent="0.25">
      <c r="B15" s="15">
        <f t="shared" si="0"/>
        <v>116</v>
      </c>
      <c r="C15" s="15" t="str">
        <f t="shared" si="1"/>
        <v>1</v>
      </c>
      <c r="D15" s="15" t="str">
        <f t="shared" si="2"/>
        <v>74</v>
      </c>
      <c r="E15" s="15">
        <f t="shared" si="3"/>
        <v>116</v>
      </c>
      <c r="F15" s="16" t="str">
        <f t="shared" si="4"/>
        <v>0174</v>
      </c>
      <c r="G15" s="16"/>
      <c r="H15" s="17"/>
      <c r="I15" s="18"/>
      <c r="J15" s="17"/>
      <c r="K15" s="16"/>
      <c r="L15" s="18"/>
      <c r="M15" s="18"/>
      <c r="N15" s="16">
        <f>LOOKUP(HEX2DEC(MID(F15,4,1)),VC!A1:C16)</f>
        <v>8</v>
      </c>
      <c r="O15" s="16">
        <f>LOOKUP(HEX2DEC(MID(F15,4,1)),VC!A1:B16)</f>
        <v>2</v>
      </c>
      <c r="P15" s="16">
        <f>LOOKUP(HEX2DEC(MID(F15,4,1)),VC!A1:D16)</f>
        <v>14</v>
      </c>
    </row>
    <row r="16" spans="2:16" ht="15" customHeight="1" x14ac:dyDescent="0.25">
      <c r="B16" s="15">
        <f t="shared" si="0"/>
        <v>115</v>
      </c>
      <c r="C16" s="15" t="str">
        <f t="shared" si="1"/>
        <v>1</v>
      </c>
      <c r="D16" s="15" t="str">
        <f t="shared" si="2"/>
        <v>73</v>
      </c>
      <c r="E16" s="15">
        <f t="shared" si="3"/>
        <v>115</v>
      </c>
      <c r="F16" s="16" t="str">
        <f t="shared" si="4"/>
        <v>0173</v>
      </c>
      <c r="G16" s="16"/>
      <c r="H16" s="17"/>
      <c r="I16" s="18"/>
      <c r="J16" s="17"/>
      <c r="K16" s="16"/>
      <c r="L16" s="18"/>
      <c r="M16" s="18"/>
      <c r="N16" s="16">
        <f>LOOKUP(HEX2DEC(MID(F16,4,1)),VC!A1:C16)</f>
        <v>9</v>
      </c>
      <c r="O16" s="16">
        <f>LOOKUP(HEX2DEC(MID(F16,4,1)),VC!A1:B16)</f>
        <v>5</v>
      </c>
      <c r="P16" s="16">
        <f>LOOKUP(HEX2DEC(MID(F16,4,1)),VC!A1:D16)</f>
        <v>13</v>
      </c>
    </row>
    <row r="17" spans="2:16" ht="15" customHeight="1" x14ac:dyDescent="0.25">
      <c r="B17" s="15">
        <f t="shared" si="0"/>
        <v>114</v>
      </c>
      <c r="C17" s="15" t="str">
        <f t="shared" si="1"/>
        <v>1</v>
      </c>
      <c r="D17" s="15" t="str">
        <f t="shared" si="2"/>
        <v>72</v>
      </c>
      <c r="E17" s="15">
        <f t="shared" si="3"/>
        <v>114</v>
      </c>
      <c r="F17" s="16" t="str">
        <f t="shared" si="4"/>
        <v>0172</v>
      </c>
      <c r="G17" s="16"/>
      <c r="H17" s="17"/>
      <c r="I17" s="18"/>
      <c r="J17" s="17"/>
      <c r="K17" s="16"/>
      <c r="L17" s="18"/>
      <c r="M17" s="18"/>
      <c r="N17" s="16">
        <f>LOOKUP(HEX2DEC(MID(F17,4,1)),VC!A1:C16)</f>
        <v>8</v>
      </c>
      <c r="O17" s="16">
        <f>LOOKUP(HEX2DEC(MID(F17,4,1)),VC!A1:B16)</f>
        <v>4</v>
      </c>
      <c r="P17" s="16">
        <f>LOOKUP(HEX2DEC(MID(F17,4,1)),VC!A1:D16)</f>
        <v>12</v>
      </c>
    </row>
    <row r="18" spans="2:16" ht="15" customHeight="1" x14ac:dyDescent="0.25">
      <c r="B18" s="15">
        <f t="shared" si="0"/>
        <v>113</v>
      </c>
      <c r="C18" s="15" t="str">
        <f t="shared" si="1"/>
        <v>1</v>
      </c>
      <c r="D18" s="15" t="str">
        <f t="shared" si="2"/>
        <v>71</v>
      </c>
      <c r="E18" s="15">
        <f t="shared" si="3"/>
        <v>113</v>
      </c>
      <c r="F18" s="16" t="str">
        <f t="shared" si="4"/>
        <v>0171</v>
      </c>
      <c r="G18" s="16"/>
      <c r="H18" s="17"/>
      <c r="I18" s="18"/>
      <c r="J18" s="17"/>
      <c r="K18" s="16"/>
      <c r="L18" s="18"/>
      <c r="M18" s="18"/>
      <c r="N18" s="16">
        <f>LOOKUP(HEX2DEC(MID(F18,4,1)),VC!A1:C16)</f>
        <v>9</v>
      </c>
      <c r="O18" s="16">
        <f>LOOKUP(HEX2DEC(MID(F18,4,1)),VC!A1:B16)</f>
        <v>3</v>
      </c>
      <c r="P18" s="16">
        <f>LOOKUP(HEX2DEC(MID(F18,4,1)),VC!A1:D16)</f>
        <v>11</v>
      </c>
    </row>
    <row r="19" spans="2:16" ht="15" customHeight="1" x14ac:dyDescent="0.25">
      <c r="B19" s="15">
        <f t="shared" si="0"/>
        <v>112</v>
      </c>
      <c r="C19" s="15" t="str">
        <f t="shared" si="1"/>
        <v>1</v>
      </c>
      <c r="D19" s="15" t="str">
        <f t="shared" si="2"/>
        <v>70</v>
      </c>
      <c r="E19" s="15">
        <f t="shared" si="3"/>
        <v>112</v>
      </c>
      <c r="F19" s="16" t="str">
        <f t="shared" si="4"/>
        <v>0170</v>
      </c>
      <c r="G19" s="16"/>
      <c r="H19" s="17"/>
      <c r="I19" s="18"/>
      <c r="J19" s="17"/>
      <c r="K19" s="16"/>
      <c r="L19" s="18"/>
      <c r="M19" s="18"/>
      <c r="N19" s="16">
        <f>LOOKUP(HEX2DEC(MID(F19,4,1)),VC!A1:C16)</f>
        <v>8</v>
      </c>
      <c r="O19" s="16">
        <f>LOOKUP(HEX2DEC(MID(F19,4,1)),VC!A1:B16)</f>
        <v>2</v>
      </c>
      <c r="P19" s="16">
        <f>LOOKUP(HEX2DEC(MID(F19,4,1)),VC!A1:D16)</f>
        <v>10</v>
      </c>
    </row>
    <row r="20" spans="2:16" ht="15" customHeight="1" x14ac:dyDescent="0.25">
      <c r="B20" s="15">
        <f t="shared" si="0"/>
        <v>111</v>
      </c>
      <c r="C20" s="15" t="str">
        <f t="shared" si="1"/>
        <v>1</v>
      </c>
      <c r="D20" s="15" t="str">
        <f t="shared" si="2"/>
        <v>6F</v>
      </c>
      <c r="E20" s="15">
        <f t="shared" si="3"/>
        <v>111</v>
      </c>
      <c r="F20" s="16" t="str">
        <f t="shared" si="4"/>
        <v>016F</v>
      </c>
      <c r="G20" s="16"/>
      <c r="H20" s="17"/>
      <c r="I20" s="18"/>
      <c r="J20" s="17"/>
      <c r="K20" s="16"/>
      <c r="L20" s="18"/>
      <c r="M20" s="18"/>
      <c r="N20" s="16">
        <f>LOOKUP(HEX2DEC(MID(F20,4,1)),VC!A1:C16)</f>
        <v>9</v>
      </c>
      <c r="O20" s="16">
        <f>LOOKUP(HEX2DEC(MID(F20,4,1)),VC!A1:B16)</f>
        <v>5</v>
      </c>
      <c r="P20" s="16">
        <f>LOOKUP(HEX2DEC(MID(F20,4,1)),VC!A1:D16)</f>
        <v>10</v>
      </c>
    </row>
    <row r="21" spans="2:16" ht="15" customHeight="1" x14ac:dyDescent="0.25">
      <c r="B21" s="15">
        <f t="shared" si="0"/>
        <v>110</v>
      </c>
      <c r="C21" s="15" t="str">
        <f t="shared" si="1"/>
        <v>1</v>
      </c>
      <c r="D21" s="15" t="str">
        <f t="shared" si="2"/>
        <v>6E</v>
      </c>
      <c r="E21" s="15">
        <f t="shared" si="3"/>
        <v>110</v>
      </c>
      <c r="F21" s="16" t="str">
        <f t="shared" si="4"/>
        <v>016E</v>
      </c>
      <c r="G21" s="16"/>
      <c r="H21" s="17"/>
      <c r="I21" s="18"/>
      <c r="J21" s="17"/>
      <c r="K21" s="16"/>
      <c r="L21" s="18"/>
      <c r="M21" s="18"/>
      <c r="N21" s="16">
        <f>LOOKUP(HEX2DEC(MID(F21,4,1)),VC!A1:C16)</f>
        <v>8</v>
      </c>
      <c r="O21" s="16">
        <f>LOOKUP(HEX2DEC(MID(F21,4,1)),VC!A1:B16)</f>
        <v>4</v>
      </c>
      <c r="P21" s="16">
        <f>LOOKUP(HEX2DEC(MID(F21,4,1)),VC!A1:D16)</f>
        <v>14</v>
      </c>
    </row>
    <row r="22" spans="2:16" ht="15" customHeight="1" x14ac:dyDescent="0.25">
      <c r="B22" s="15">
        <f t="shared" si="0"/>
        <v>109</v>
      </c>
      <c r="C22" s="15" t="str">
        <f t="shared" si="1"/>
        <v>1</v>
      </c>
      <c r="D22" s="15" t="str">
        <f t="shared" si="2"/>
        <v>6D</v>
      </c>
      <c r="E22" s="15">
        <f t="shared" si="3"/>
        <v>109</v>
      </c>
      <c r="F22" s="16" t="str">
        <f t="shared" si="4"/>
        <v>016D</v>
      </c>
      <c r="G22" s="16"/>
      <c r="H22" s="17"/>
      <c r="I22" s="18"/>
      <c r="J22" s="17"/>
      <c r="K22" s="16"/>
      <c r="L22" s="18"/>
      <c r="M22" s="18"/>
      <c r="N22" s="16">
        <f>LOOKUP(HEX2DEC(MID(F22,4,1)),VC!A1:C16)</f>
        <v>9</v>
      </c>
      <c r="O22" s="16">
        <f>LOOKUP(HEX2DEC(MID(F22,4,1)),VC!A1:B16)</f>
        <v>3</v>
      </c>
      <c r="P22" s="16">
        <f>LOOKUP(HEX2DEC(MID(F22,4,1)),VC!A1:D16)</f>
        <v>13</v>
      </c>
    </row>
    <row r="23" spans="2:16" ht="15" customHeight="1" x14ac:dyDescent="0.25">
      <c r="B23" s="15">
        <f t="shared" si="0"/>
        <v>108</v>
      </c>
      <c r="C23" s="15" t="str">
        <f t="shared" si="1"/>
        <v>1</v>
      </c>
      <c r="D23" s="15" t="str">
        <f t="shared" si="2"/>
        <v>6C</v>
      </c>
      <c r="E23" s="15">
        <f t="shared" si="3"/>
        <v>108</v>
      </c>
      <c r="F23" s="16" t="str">
        <f t="shared" si="4"/>
        <v>016C</v>
      </c>
      <c r="G23" s="16"/>
      <c r="H23" s="17"/>
      <c r="I23" s="18"/>
      <c r="J23" s="17"/>
      <c r="K23" s="16"/>
      <c r="L23" s="18"/>
      <c r="M23" s="18"/>
      <c r="N23" s="16">
        <f>LOOKUP(HEX2DEC(MID(F23,4,1)),VC!A1:C16)</f>
        <v>8</v>
      </c>
      <c r="O23" s="16">
        <f>LOOKUP(HEX2DEC(MID(F23,4,1)),VC!A1:B16)</f>
        <v>2</v>
      </c>
      <c r="P23" s="16">
        <f>LOOKUP(HEX2DEC(MID(F23,4,1)),VC!A1:D16)</f>
        <v>12</v>
      </c>
    </row>
    <row r="24" spans="2:16" ht="15" customHeight="1" x14ac:dyDescent="0.25">
      <c r="B24" s="15">
        <f t="shared" si="0"/>
        <v>107</v>
      </c>
      <c r="C24" s="15" t="str">
        <f t="shared" si="1"/>
        <v>1</v>
      </c>
      <c r="D24" s="15" t="str">
        <f t="shared" si="2"/>
        <v>6B</v>
      </c>
      <c r="E24" s="15">
        <f t="shared" si="3"/>
        <v>107</v>
      </c>
      <c r="F24" s="16" t="str">
        <f t="shared" si="4"/>
        <v>016B</v>
      </c>
      <c r="G24" s="16"/>
      <c r="H24" s="17"/>
      <c r="I24" s="18"/>
      <c r="J24" s="17"/>
      <c r="K24" s="16"/>
      <c r="L24" s="18"/>
      <c r="M24" s="18"/>
      <c r="N24" s="16">
        <f>LOOKUP(HEX2DEC(MID(F24,4,1)),VC!A1:C16)</f>
        <v>9</v>
      </c>
      <c r="O24" s="16">
        <f>LOOKUP(HEX2DEC(MID(F24,4,1)),VC!A1:B16)</f>
        <v>5</v>
      </c>
      <c r="P24" s="16">
        <f>LOOKUP(HEX2DEC(MID(F24,4,1)),VC!A1:D16)</f>
        <v>11</v>
      </c>
    </row>
    <row r="25" spans="2:16" ht="15" customHeight="1" x14ac:dyDescent="0.25">
      <c r="B25" s="15">
        <f t="shared" si="0"/>
        <v>106</v>
      </c>
      <c r="C25" s="15" t="str">
        <f t="shared" si="1"/>
        <v>1</v>
      </c>
      <c r="D25" s="15" t="str">
        <f t="shared" si="2"/>
        <v>6A</v>
      </c>
      <c r="E25" s="15">
        <f t="shared" si="3"/>
        <v>106</v>
      </c>
      <c r="F25" s="16" t="str">
        <f t="shared" si="4"/>
        <v>016A</v>
      </c>
      <c r="G25" s="16"/>
      <c r="H25" s="17"/>
      <c r="I25" s="18"/>
      <c r="J25" s="17"/>
      <c r="K25" s="16"/>
      <c r="L25" s="18"/>
      <c r="M25" s="18"/>
      <c r="N25" s="16">
        <f>LOOKUP(HEX2DEC(MID(F25,4,1)),VC!A1:C16)</f>
        <v>8</v>
      </c>
      <c r="O25" s="16">
        <f>LOOKUP(HEX2DEC(MID(F25,4,1)),VC!A1:B16)</f>
        <v>4</v>
      </c>
      <c r="P25" s="16">
        <f>LOOKUP(HEX2DEC(MID(F25,4,1)),VC!A1:D16)</f>
        <v>10</v>
      </c>
    </row>
    <row r="26" spans="2:16" ht="15" customHeight="1" x14ac:dyDescent="0.25">
      <c r="B26" s="15">
        <f t="shared" si="0"/>
        <v>105</v>
      </c>
      <c r="C26" s="15" t="str">
        <f t="shared" si="1"/>
        <v>1</v>
      </c>
      <c r="D26" s="15" t="str">
        <f t="shared" si="2"/>
        <v>69</v>
      </c>
      <c r="E26" s="15">
        <f t="shared" si="3"/>
        <v>105</v>
      </c>
      <c r="F26" s="16" t="str">
        <f t="shared" si="4"/>
        <v>0169</v>
      </c>
      <c r="G26" s="16"/>
      <c r="H26" s="17"/>
      <c r="I26" s="18"/>
      <c r="J26" s="17"/>
      <c r="K26" s="16"/>
      <c r="L26" s="18"/>
      <c r="M26" s="18"/>
      <c r="N26" s="16">
        <f>LOOKUP(HEX2DEC(MID(F26,4,1)),VC!A1:C16)</f>
        <v>9</v>
      </c>
      <c r="O26" s="16">
        <f>LOOKUP(HEX2DEC(MID(F26,4,1)),VC!A1:B16)</f>
        <v>3</v>
      </c>
      <c r="P26" s="16">
        <f>LOOKUP(HEX2DEC(MID(F26,4,1)),VC!A1:D16)</f>
        <v>14</v>
      </c>
    </row>
    <row r="27" spans="2:16" ht="15" customHeight="1" x14ac:dyDescent="0.25">
      <c r="B27" s="15">
        <f t="shared" si="0"/>
        <v>104</v>
      </c>
      <c r="C27" s="15" t="str">
        <f t="shared" si="1"/>
        <v>1</v>
      </c>
      <c r="D27" s="15" t="str">
        <f t="shared" si="2"/>
        <v>68</v>
      </c>
      <c r="E27" s="15">
        <f t="shared" si="3"/>
        <v>104</v>
      </c>
      <c r="F27" s="16" t="str">
        <f t="shared" si="4"/>
        <v>0168</v>
      </c>
      <c r="G27" s="16"/>
      <c r="H27" s="17"/>
      <c r="I27" s="18"/>
      <c r="J27" s="17"/>
      <c r="K27" s="16"/>
      <c r="L27" s="18"/>
      <c r="M27" s="18"/>
      <c r="N27" s="16">
        <f>LOOKUP(HEX2DEC(MID(F27,4,1)),VC!A1:C16)</f>
        <v>8</v>
      </c>
      <c r="O27" s="16">
        <f>LOOKUP(HEX2DEC(MID(F27,4,1)),VC!A1:B16)</f>
        <v>2</v>
      </c>
      <c r="P27" s="16">
        <f>LOOKUP(HEX2DEC(MID(F27,4,1)),VC!A1:D16)</f>
        <v>13</v>
      </c>
    </row>
    <row r="28" spans="2:16" x14ac:dyDescent="0.25">
      <c r="B28" s="15">
        <f t="shared" si="0"/>
        <v>103</v>
      </c>
      <c r="C28" s="15" t="str">
        <f t="shared" si="1"/>
        <v>1</v>
      </c>
      <c r="D28" s="15" t="str">
        <f t="shared" si="2"/>
        <v>67</v>
      </c>
      <c r="E28" s="15">
        <f t="shared" si="3"/>
        <v>103</v>
      </c>
      <c r="F28" s="16" t="str">
        <f t="shared" si="4"/>
        <v>0167</v>
      </c>
      <c r="G28" s="16"/>
      <c r="H28" s="17"/>
      <c r="I28" s="18"/>
      <c r="J28" s="17"/>
      <c r="K28" s="16"/>
      <c r="L28" s="18"/>
      <c r="M28" s="18"/>
      <c r="N28" s="16">
        <f>LOOKUP(HEX2DEC(MID(F28,4,1)),VC!A1:C16)</f>
        <v>9</v>
      </c>
      <c r="O28" s="16">
        <f>LOOKUP(HEX2DEC(MID(F28,4,1)),VC!A1:B16)</f>
        <v>5</v>
      </c>
      <c r="P28" s="16">
        <f>LOOKUP(HEX2DEC(MID(F28,4,1)),VC!A1:D16)</f>
        <v>12</v>
      </c>
    </row>
    <row r="29" spans="2:16" x14ac:dyDescent="0.25">
      <c r="B29" s="15">
        <f t="shared" si="0"/>
        <v>102</v>
      </c>
      <c r="C29" s="15" t="str">
        <f t="shared" si="1"/>
        <v>1</v>
      </c>
      <c r="D29" s="15" t="str">
        <f t="shared" si="2"/>
        <v>66</v>
      </c>
      <c r="E29" s="15">
        <f t="shared" si="3"/>
        <v>102</v>
      </c>
      <c r="F29" s="16" t="str">
        <f t="shared" si="4"/>
        <v>0166</v>
      </c>
      <c r="G29" s="16"/>
      <c r="H29" s="17"/>
      <c r="I29" s="18"/>
      <c r="J29" s="17"/>
      <c r="K29" s="16"/>
      <c r="L29" s="18"/>
      <c r="M29" s="18"/>
      <c r="N29" s="16">
        <f>LOOKUP(HEX2DEC(MID(F29,4,1)),VC!A1:C16)</f>
        <v>8</v>
      </c>
      <c r="O29" s="16">
        <f>LOOKUP(HEX2DEC(MID(F29,4,1)),VC!A1:B16)</f>
        <v>4</v>
      </c>
      <c r="P29" s="16">
        <f>LOOKUP(HEX2DEC(MID(F29,4,1)),VC!A1:D16)</f>
        <v>11</v>
      </c>
    </row>
    <row r="30" spans="2:16" x14ac:dyDescent="0.25">
      <c r="B30" s="15">
        <f t="shared" si="0"/>
        <v>101</v>
      </c>
      <c r="C30" s="15" t="str">
        <f t="shared" si="1"/>
        <v>1</v>
      </c>
      <c r="D30" s="15" t="str">
        <f t="shared" si="2"/>
        <v>65</v>
      </c>
      <c r="E30" s="15">
        <f t="shared" si="3"/>
        <v>101</v>
      </c>
      <c r="F30" s="16" t="str">
        <f t="shared" si="4"/>
        <v>0165</v>
      </c>
      <c r="G30" s="16"/>
      <c r="H30" s="17"/>
      <c r="I30" s="18"/>
      <c r="J30" s="17"/>
      <c r="K30" s="16"/>
      <c r="L30" s="18"/>
      <c r="M30" s="18"/>
      <c r="N30" s="16">
        <f>LOOKUP(HEX2DEC(MID(F30,4,1)),VC!A1:C16)</f>
        <v>9</v>
      </c>
      <c r="O30" s="16">
        <f>LOOKUP(HEX2DEC(MID(F30,4,1)),VC!A1:B16)</f>
        <v>3</v>
      </c>
      <c r="P30" s="16">
        <f>LOOKUP(HEX2DEC(MID(F30,4,1)),VC!A1:D16)</f>
        <v>10</v>
      </c>
    </row>
    <row r="31" spans="2:16" x14ac:dyDescent="0.25">
      <c r="B31" s="15">
        <f t="shared" si="0"/>
        <v>100</v>
      </c>
      <c r="C31" s="15" t="str">
        <f t="shared" si="1"/>
        <v>1</v>
      </c>
      <c r="D31" s="15" t="str">
        <f t="shared" si="2"/>
        <v>64</v>
      </c>
      <c r="E31" s="15">
        <f t="shared" si="3"/>
        <v>100</v>
      </c>
      <c r="F31" s="16" t="str">
        <f t="shared" si="4"/>
        <v>0164</v>
      </c>
      <c r="G31" s="16"/>
      <c r="H31" s="17"/>
      <c r="I31" s="18"/>
      <c r="J31" s="17"/>
      <c r="K31" s="16"/>
      <c r="L31" s="18"/>
      <c r="M31" s="18"/>
      <c r="N31" s="16">
        <f>LOOKUP(HEX2DEC(MID(F31,4,1)),VC!A1:C16)</f>
        <v>8</v>
      </c>
      <c r="O31" s="16">
        <f>LOOKUP(HEX2DEC(MID(F31,4,1)),VC!A1:B16)</f>
        <v>2</v>
      </c>
      <c r="P31" s="16">
        <f>LOOKUP(HEX2DEC(MID(F31,4,1)),VC!A1:D16)</f>
        <v>14</v>
      </c>
    </row>
    <row r="32" spans="2:16" x14ac:dyDescent="0.25">
      <c r="B32" s="15">
        <f t="shared" si="0"/>
        <v>99</v>
      </c>
      <c r="C32" s="15" t="str">
        <f t="shared" si="1"/>
        <v>1</v>
      </c>
      <c r="D32" s="15" t="str">
        <f t="shared" si="2"/>
        <v>63</v>
      </c>
      <c r="E32" s="15">
        <f t="shared" si="3"/>
        <v>99</v>
      </c>
      <c r="F32" s="16" t="str">
        <f t="shared" si="4"/>
        <v>0163</v>
      </c>
      <c r="G32" s="16"/>
      <c r="H32" s="17"/>
      <c r="I32" s="18"/>
      <c r="J32" s="17"/>
      <c r="K32" s="16"/>
      <c r="L32" s="18"/>
      <c r="M32" s="18"/>
      <c r="N32" s="16">
        <f>LOOKUP(HEX2DEC(MID(F32,4,1)),VC!A1:C16)</f>
        <v>9</v>
      </c>
      <c r="O32" s="16">
        <f>LOOKUP(HEX2DEC(MID(F32,4,1)),VC!A1:B16)</f>
        <v>5</v>
      </c>
      <c r="P32" s="16">
        <f>LOOKUP(HEX2DEC(MID(F32,4,1)),VC!A1:D16)</f>
        <v>13</v>
      </c>
    </row>
    <row r="33" spans="2:16" x14ac:dyDescent="0.25">
      <c r="B33" s="15">
        <f t="shared" si="0"/>
        <v>98</v>
      </c>
      <c r="C33" s="15" t="str">
        <f t="shared" si="1"/>
        <v>1</v>
      </c>
      <c r="D33" s="15" t="str">
        <f t="shared" si="2"/>
        <v>62</v>
      </c>
      <c r="E33" s="15">
        <f t="shared" si="3"/>
        <v>98</v>
      </c>
      <c r="F33" s="16" t="str">
        <f t="shared" si="4"/>
        <v>0162</v>
      </c>
      <c r="G33" s="16"/>
      <c r="H33" s="17"/>
      <c r="I33" s="18"/>
      <c r="J33" s="17"/>
      <c r="K33" s="16"/>
      <c r="L33" s="18"/>
      <c r="M33" s="18"/>
      <c r="N33" s="16">
        <f>LOOKUP(HEX2DEC(MID(F33,4,1)),VC!A1:C16)</f>
        <v>8</v>
      </c>
      <c r="O33" s="16">
        <f>LOOKUP(HEX2DEC(MID(F33,4,1)),VC!A1:B16)</f>
        <v>4</v>
      </c>
      <c r="P33" s="16">
        <f>LOOKUP(HEX2DEC(MID(F33,4,1)),VC!A1:D16)</f>
        <v>12</v>
      </c>
    </row>
    <row r="34" spans="2:16" x14ac:dyDescent="0.25">
      <c r="B34" s="15">
        <f t="shared" si="0"/>
        <v>97</v>
      </c>
      <c r="C34" s="15" t="str">
        <f t="shared" si="1"/>
        <v>1</v>
      </c>
      <c r="D34" s="15" t="str">
        <f t="shared" si="2"/>
        <v>61</v>
      </c>
      <c r="E34" s="15">
        <f t="shared" si="3"/>
        <v>97</v>
      </c>
      <c r="F34" s="16" t="str">
        <f t="shared" si="4"/>
        <v>0161</v>
      </c>
      <c r="G34" s="16"/>
      <c r="H34" s="17"/>
      <c r="I34" s="18"/>
      <c r="J34" s="17"/>
      <c r="K34" s="16"/>
      <c r="L34" s="18"/>
      <c r="M34" s="18"/>
      <c r="N34" s="16">
        <f>LOOKUP(HEX2DEC(MID(F34,4,1)),VC!A1:C16)</f>
        <v>9</v>
      </c>
      <c r="O34" s="16">
        <f>LOOKUP(HEX2DEC(MID(F34,4,1)),VC!A1:B16)</f>
        <v>3</v>
      </c>
      <c r="P34" s="16">
        <f>LOOKUP(HEX2DEC(MID(F34,4,1)),VC!A1:D16)</f>
        <v>11</v>
      </c>
    </row>
    <row r="35" spans="2:16" x14ac:dyDescent="0.25">
      <c r="B35" s="15">
        <f t="shared" si="0"/>
        <v>96</v>
      </c>
      <c r="C35" s="15" t="str">
        <f t="shared" si="1"/>
        <v>1</v>
      </c>
      <c r="D35" s="15" t="str">
        <f t="shared" si="2"/>
        <v>60</v>
      </c>
      <c r="E35" s="15">
        <f t="shared" si="3"/>
        <v>96</v>
      </c>
      <c r="F35" s="16" t="str">
        <f t="shared" si="4"/>
        <v>0160</v>
      </c>
      <c r="G35" s="16"/>
      <c r="H35" s="17"/>
      <c r="I35" s="18"/>
      <c r="J35" s="17"/>
      <c r="K35" s="16"/>
      <c r="L35" s="18"/>
      <c r="M35" s="18"/>
      <c r="N35" s="16">
        <f>LOOKUP(HEX2DEC(MID(F35,4,1)),VC!A1:C16)</f>
        <v>8</v>
      </c>
      <c r="O35" s="16">
        <f>LOOKUP(HEX2DEC(MID(F35,4,1)),VC!A1:B16)</f>
        <v>2</v>
      </c>
      <c r="P35" s="16">
        <f>LOOKUP(HEX2DEC(MID(F35,4,1)),VC!A1:D16)</f>
        <v>10</v>
      </c>
    </row>
    <row r="36" spans="2:16" x14ac:dyDescent="0.25">
      <c r="B36" s="15">
        <f t="shared" si="0"/>
        <v>95</v>
      </c>
      <c r="C36" s="15" t="str">
        <f t="shared" ref="C36:C67" si="5">C37</f>
        <v>1</v>
      </c>
      <c r="D36" s="15" t="str">
        <f t="shared" si="2"/>
        <v>5F</v>
      </c>
      <c r="E36" s="15">
        <f t="shared" ref="E36:E67" si="6">B36</f>
        <v>95</v>
      </c>
      <c r="F36" s="16" t="str">
        <f t="shared" ref="F36:F67" si="7">IF(HEX2DEC(D36)&gt;15,IF(HEX2DEC(C36) &gt; 15,CONCATENATE(C36,D36),CONCATENATE("0",C36,D36)),IF(HEX2DEC(C36) &gt; 15,CONCATENATE(C36,"0",D36),CONCATENATE("0",C36,"0",D36)))</f>
        <v>015F</v>
      </c>
      <c r="G36" s="16"/>
      <c r="H36" s="17"/>
      <c r="I36" s="18"/>
      <c r="J36" s="17"/>
      <c r="K36" s="16"/>
      <c r="L36" s="18"/>
      <c r="M36" s="18"/>
      <c r="N36" s="16">
        <f>LOOKUP(HEX2DEC(MID(F36,4,1)),VC!A1:C16)</f>
        <v>9</v>
      </c>
      <c r="O36" s="16">
        <f>LOOKUP(HEX2DEC(MID(F36,4,1)),VC!A1:B16)</f>
        <v>5</v>
      </c>
      <c r="P36" s="16">
        <f>LOOKUP(HEX2DEC(MID(F36,4,1)),VC!A1:D16)</f>
        <v>10</v>
      </c>
    </row>
    <row r="37" spans="2:16" x14ac:dyDescent="0.25">
      <c r="B37" s="15">
        <f t="shared" si="0"/>
        <v>94</v>
      </c>
      <c r="C37" s="15" t="str">
        <f t="shared" si="5"/>
        <v>1</v>
      </c>
      <c r="D37" s="15" t="str">
        <f t="shared" si="2"/>
        <v>5E</v>
      </c>
      <c r="E37" s="15">
        <f t="shared" si="6"/>
        <v>94</v>
      </c>
      <c r="F37" s="16" t="str">
        <f t="shared" si="7"/>
        <v>015E</v>
      </c>
      <c r="G37" s="16"/>
      <c r="H37" s="17"/>
      <c r="I37" s="18"/>
      <c r="J37" s="17"/>
      <c r="K37" s="16"/>
      <c r="L37" s="18"/>
      <c r="M37" s="18"/>
      <c r="N37" s="16">
        <f>LOOKUP(HEX2DEC(MID(F37,4,1)),VC!A1:C16)</f>
        <v>8</v>
      </c>
      <c r="O37" s="16">
        <f>LOOKUP(HEX2DEC(MID(F37,4,1)),VC!A1:B16)</f>
        <v>4</v>
      </c>
      <c r="P37" s="16">
        <f>LOOKUP(HEX2DEC(MID(F37,4,1)),VC!A1:D16)</f>
        <v>14</v>
      </c>
    </row>
    <row r="38" spans="2:16" x14ac:dyDescent="0.25">
      <c r="B38" s="15">
        <f t="shared" si="0"/>
        <v>93</v>
      </c>
      <c r="C38" s="15" t="str">
        <f t="shared" si="5"/>
        <v>1</v>
      </c>
      <c r="D38" s="15" t="str">
        <f t="shared" si="2"/>
        <v>5D</v>
      </c>
      <c r="E38" s="15">
        <f t="shared" si="6"/>
        <v>93</v>
      </c>
      <c r="F38" s="16" t="str">
        <f t="shared" si="7"/>
        <v>015D</v>
      </c>
      <c r="G38" s="16"/>
      <c r="H38" s="17"/>
      <c r="I38" s="18"/>
      <c r="J38" s="17"/>
      <c r="K38" s="16"/>
      <c r="L38" s="18"/>
      <c r="M38" s="18"/>
      <c r="N38" s="16">
        <f>LOOKUP(HEX2DEC(MID(F38,4,1)),VC!A1:C16)</f>
        <v>9</v>
      </c>
      <c r="O38" s="16">
        <f>LOOKUP(HEX2DEC(MID(F38,4,1)),VC!A1:B16)</f>
        <v>3</v>
      </c>
      <c r="P38" s="16">
        <f>LOOKUP(HEX2DEC(MID(F38,4,1)),VC!A1:D16)</f>
        <v>13</v>
      </c>
    </row>
    <row r="39" spans="2:16" x14ac:dyDescent="0.25">
      <c r="B39" s="15">
        <f t="shared" si="0"/>
        <v>92</v>
      </c>
      <c r="C39" s="15" t="str">
        <f t="shared" si="5"/>
        <v>1</v>
      </c>
      <c r="D39" s="15" t="str">
        <f t="shared" si="2"/>
        <v>5C</v>
      </c>
      <c r="E39" s="15">
        <f t="shared" si="6"/>
        <v>92</v>
      </c>
      <c r="F39" s="16" t="str">
        <f t="shared" si="7"/>
        <v>015C</v>
      </c>
      <c r="G39" s="16"/>
      <c r="H39" s="17"/>
      <c r="I39" s="18"/>
      <c r="J39" s="17"/>
      <c r="K39" s="16"/>
      <c r="L39" s="18"/>
      <c r="M39" s="18"/>
      <c r="N39" s="16">
        <f>LOOKUP(HEX2DEC(MID(F39,4,1)),VC!A1:C16)</f>
        <v>8</v>
      </c>
      <c r="O39" s="16">
        <f>LOOKUP(HEX2DEC(MID(F39,4,1)),VC!A1:B16)</f>
        <v>2</v>
      </c>
      <c r="P39" s="16">
        <f>LOOKUP(HEX2DEC(MID(F39,4,1)),VC!A1:D16)</f>
        <v>12</v>
      </c>
    </row>
    <row r="40" spans="2:16" x14ac:dyDescent="0.25">
      <c r="B40" s="15">
        <f t="shared" si="0"/>
        <v>91</v>
      </c>
      <c r="C40" s="15" t="str">
        <f t="shared" si="5"/>
        <v>1</v>
      </c>
      <c r="D40" s="15" t="str">
        <f t="shared" si="2"/>
        <v>5B</v>
      </c>
      <c r="E40" s="15">
        <f t="shared" si="6"/>
        <v>91</v>
      </c>
      <c r="F40" s="16" t="str">
        <f t="shared" si="7"/>
        <v>015B</v>
      </c>
      <c r="G40" s="16"/>
      <c r="H40" s="17"/>
      <c r="I40" s="18"/>
      <c r="J40" s="17"/>
      <c r="K40" s="16"/>
      <c r="L40" s="18"/>
      <c r="M40" s="18"/>
      <c r="N40" s="16">
        <f>LOOKUP(HEX2DEC(MID(F40,4,1)),VC!A1:C16)</f>
        <v>9</v>
      </c>
      <c r="O40" s="16">
        <f>LOOKUP(HEX2DEC(MID(F40,4,1)),VC!A1:B16)</f>
        <v>5</v>
      </c>
      <c r="P40" s="16">
        <f>LOOKUP(HEX2DEC(MID(F40,4,1)),VC!A1:D16)</f>
        <v>11</v>
      </c>
    </row>
    <row r="41" spans="2:16" x14ac:dyDescent="0.25">
      <c r="B41" s="15">
        <f t="shared" si="0"/>
        <v>90</v>
      </c>
      <c r="C41" s="15" t="str">
        <f t="shared" si="5"/>
        <v>1</v>
      </c>
      <c r="D41" s="15" t="str">
        <f t="shared" si="2"/>
        <v>5A</v>
      </c>
      <c r="E41" s="15">
        <f t="shared" si="6"/>
        <v>90</v>
      </c>
      <c r="F41" s="16" t="str">
        <f t="shared" si="7"/>
        <v>015A</v>
      </c>
      <c r="G41" s="16"/>
      <c r="H41" s="17"/>
      <c r="I41" s="18"/>
      <c r="J41" s="17"/>
      <c r="K41" s="16"/>
      <c r="L41" s="18"/>
      <c r="M41" s="18"/>
      <c r="N41" s="16">
        <f>LOOKUP(HEX2DEC(MID(F41,4,1)),VC!A1:C16)</f>
        <v>8</v>
      </c>
      <c r="O41" s="16">
        <f>LOOKUP(HEX2DEC(MID(F41,4,1)),VC!A1:B16)</f>
        <v>4</v>
      </c>
      <c r="P41" s="16">
        <f>LOOKUP(HEX2DEC(MID(F41,4,1)),VC!A1:D16)</f>
        <v>10</v>
      </c>
    </row>
    <row r="42" spans="2:16" x14ac:dyDescent="0.25">
      <c r="B42" s="15">
        <f t="shared" si="0"/>
        <v>89</v>
      </c>
      <c r="C42" s="15" t="str">
        <f t="shared" si="5"/>
        <v>1</v>
      </c>
      <c r="D42" s="15" t="str">
        <f t="shared" si="2"/>
        <v>59</v>
      </c>
      <c r="E42" s="15">
        <f t="shared" si="6"/>
        <v>89</v>
      </c>
      <c r="F42" s="16" t="str">
        <f t="shared" si="7"/>
        <v>0159</v>
      </c>
      <c r="G42" s="16"/>
      <c r="H42" s="17"/>
      <c r="I42" s="18"/>
      <c r="J42" s="17"/>
      <c r="K42" s="16"/>
      <c r="L42" s="18"/>
      <c r="M42" s="18"/>
      <c r="N42" s="16">
        <f>LOOKUP(HEX2DEC(MID(F42,4,1)),VC!A1:C16)</f>
        <v>9</v>
      </c>
      <c r="O42" s="16">
        <f>LOOKUP(HEX2DEC(MID(F42,4,1)),VC!A1:B16)</f>
        <v>3</v>
      </c>
      <c r="P42" s="16">
        <f>LOOKUP(HEX2DEC(MID(F42,4,1)),VC!A1:D16)</f>
        <v>14</v>
      </c>
    </row>
    <row r="43" spans="2:16" x14ac:dyDescent="0.25">
      <c r="B43" s="15">
        <f t="shared" si="0"/>
        <v>88</v>
      </c>
      <c r="C43" s="15" t="str">
        <f t="shared" si="5"/>
        <v>1</v>
      </c>
      <c r="D43" s="15" t="str">
        <f t="shared" si="2"/>
        <v>58</v>
      </c>
      <c r="E43" s="15">
        <f t="shared" si="6"/>
        <v>88</v>
      </c>
      <c r="F43" s="16" t="str">
        <f t="shared" si="7"/>
        <v>0158</v>
      </c>
      <c r="G43" s="16"/>
      <c r="H43" s="17"/>
      <c r="I43" s="18"/>
      <c r="J43" s="17"/>
      <c r="K43" s="16"/>
      <c r="L43" s="18"/>
      <c r="M43" s="18"/>
      <c r="N43" s="16">
        <f>LOOKUP(HEX2DEC(MID(F43,4,1)),VC!A1:C16)</f>
        <v>8</v>
      </c>
      <c r="O43" s="16">
        <f>LOOKUP(HEX2DEC(MID(F43,4,1)),VC!A1:B16)</f>
        <v>2</v>
      </c>
      <c r="P43" s="16">
        <f>LOOKUP(HEX2DEC(MID(F43,4,1)),VC!A1:D16)</f>
        <v>13</v>
      </c>
    </row>
    <row r="44" spans="2:16" x14ac:dyDescent="0.25">
      <c r="B44" s="15">
        <f t="shared" si="0"/>
        <v>87</v>
      </c>
      <c r="C44" s="15" t="str">
        <f t="shared" si="5"/>
        <v>1</v>
      </c>
      <c r="D44" s="15" t="str">
        <f t="shared" si="2"/>
        <v>57</v>
      </c>
      <c r="E44" s="15">
        <f t="shared" si="6"/>
        <v>87</v>
      </c>
      <c r="F44" s="16" t="str">
        <f t="shared" si="7"/>
        <v>0157</v>
      </c>
      <c r="G44" s="16"/>
      <c r="H44" s="17"/>
      <c r="I44" s="18"/>
      <c r="J44" s="17"/>
      <c r="K44" s="16"/>
      <c r="L44" s="18"/>
      <c r="M44" s="18"/>
      <c r="N44" s="16">
        <f>LOOKUP(HEX2DEC(MID(F44,4,1)),VC!A1:C16)</f>
        <v>9</v>
      </c>
      <c r="O44" s="16">
        <f>LOOKUP(HEX2DEC(MID(F44,4,1)),VC!A1:B16)</f>
        <v>5</v>
      </c>
      <c r="P44" s="16">
        <f>LOOKUP(HEX2DEC(MID(F44,4,1)),VC!A1:D16)</f>
        <v>12</v>
      </c>
    </row>
    <row r="45" spans="2:16" x14ac:dyDescent="0.25">
      <c r="B45" s="15">
        <f t="shared" si="0"/>
        <v>86</v>
      </c>
      <c r="C45" s="15" t="str">
        <f t="shared" si="5"/>
        <v>1</v>
      </c>
      <c r="D45" s="15" t="str">
        <f t="shared" si="2"/>
        <v>56</v>
      </c>
      <c r="E45" s="15">
        <f t="shared" si="6"/>
        <v>86</v>
      </c>
      <c r="F45" s="16" t="str">
        <f t="shared" si="7"/>
        <v>0156</v>
      </c>
      <c r="G45" s="16"/>
      <c r="H45" s="17"/>
      <c r="I45" s="18"/>
      <c r="J45" s="17"/>
      <c r="K45" s="16"/>
      <c r="L45" s="18"/>
      <c r="M45" s="18"/>
      <c r="N45" s="16">
        <f>LOOKUP(HEX2DEC(MID(F45,4,1)),VC!A1:C16)</f>
        <v>8</v>
      </c>
      <c r="O45" s="16">
        <f>LOOKUP(HEX2DEC(MID(F45,4,1)),VC!A1:B16)</f>
        <v>4</v>
      </c>
      <c r="P45" s="16">
        <f>LOOKUP(HEX2DEC(MID(F45,4,1)),VC!A1:D16)</f>
        <v>11</v>
      </c>
    </row>
    <row r="46" spans="2:16" x14ac:dyDescent="0.25">
      <c r="B46" s="15">
        <f t="shared" si="0"/>
        <v>85</v>
      </c>
      <c r="C46" s="15" t="str">
        <f t="shared" si="5"/>
        <v>1</v>
      </c>
      <c r="D46" s="15" t="str">
        <f t="shared" si="2"/>
        <v>55</v>
      </c>
      <c r="E46" s="15">
        <f t="shared" si="6"/>
        <v>85</v>
      </c>
      <c r="F46" s="16" t="str">
        <f t="shared" si="7"/>
        <v>0155</v>
      </c>
      <c r="G46" s="16"/>
      <c r="H46" s="17"/>
      <c r="I46" s="18"/>
      <c r="J46" s="17"/>
      <c r="K46" s="16"/>
      <c r="L46" s="18"/>
      <c r="M46" s="18"/>
      <c r="N46" s="16">
        <f>LOOKUP(HEX2DEC(MID(F46,4,1)),VC!A1:C16)</f>
        <v>9</v>
      </c>
      <c r="O46" s="16">
        <f>LOOKUP(HEX2DEC(MID(F46,4,1)),VC!A1:B16)</f>
        <v>3</v>
      </c>
      <c r="P46" s="16">
        <f>LOOKUP(HEX2DEC(MID(F46,4,1)),VC!A1:D16)</f>
        <v>10</v>
      </c>
    </row>
    <row r="47" spans="2:16" x14ac:dyDescent="0.25">
      <c r="B47" s="15">
        <f t="shared" si="0"/>
        <v>84</v>
      </c>
      <c r="C47" s="15" t="str">
        <f t="shared" si="5"/>
        <v>1</v>
      </c>
      <c r="D47" s="15" t="str">
        <f t="shared" si="2"/>
        <v>54</v>
      </c>
      <c r="E47" s="15">
        <f t="shared" si="6"/>
        <v>84</v>
      </c>
      <c r="F47" s="16" t="str">
        <f t="shared" si="7"/>
        <v>0154</v>
      </c>
      <c r="G47" s="16"/>
      <c r="H47" s="17"/>
      <c r="I47" s="18"/>
      <c r="J47" s="17"/>
      <c r="K47" s="16"/>
      <c r="L47" s="18"/>
      <c r="M47" s="18"/>
      <c r="N47" s="16">
        <f>LOOKUP(HEX2DEC(MID(F47,4,1)),VC!A1:C16)</f>
        <v>8</v>
      </c>
      <c r="O47" s="16">
        <f>LOOKUP(HEX2DEC(MID(F47,4,1)),VC!A1:B16)</f>
        <v>2</v>
      </c>
      <c r="P47" s="16">
        <f>LOOKUP(HEX2DEC(MID(F47,4,1)),VC!A1:D16)</f>
        <v>14</v>
      </c>
    </row>
    <row r="48" spans="2:16" x14ac:dyDescent="0.25">
      <c r="B48" s="15">
        <f t="shared" si="0"/>
        <v>83</v>
      </c>
      <c r="C48" s="15" t="str">
        <f t="shared" si="5"/>
        <v>1</v>
      </c>
      <c r="D48" s="15" t="str">
        <f t="shared" si="2"/>
        <v>53</v>
      </c>
      <c r="E48" s="15">
        <f t="shared" si="6"/>
        <v>83</v>
      </c>
      <c r="F48" s="16" t="str">
        <f t="shared" si="7"/>
        <v>0153</v>
      </c>
      <c r="G48" s="16"/>
      <c r="H48" s="17"/>
      <c r="I48" s="18"/>
      <c r="J48" s="17"/>
      <c r="K48" s="16"/>
      <c r="L48" s="18"/>
      <c r="M48" s="18"/>
      <c r="N48" s="16">
        <f>LOOKUP(HEX2DEC(MID(F48,4,1)),VC!A1:C16)</f>
        <v>9</v>
      </c>
      <c r="O48" s="16">
        <f>LOOKUP(HEX2DEC(MID(F48,4,1)),VC!A1:B16)</f>
        <v>5</v>
      </c>
      <c r="P48" s="16">
        <f>LOOKUP(HEX2DEC(MID(F48,4,1)),VC!A1:D16)</f>
        <v>13</v>
      </c>
    </row>
    <row r="49" spans="2:16" x14ac:dyDescent="0.25">
      <c r="B49" s="15">
        <f t="shared" si="0"/>
        <v>82</v>
      </c>
      <c r="C49" s="15" t="str">
        <f t="shared" si="5"/>
        <v>1</v>
      </c>
      <c r="D49" s="15" t="str">
        <f t="shared" si="2"/>
        <v>52</v>
      </c>
      <c r="E49" s="15">
        <f t="shared" si="6"/>
        <v>82</v>
      </c>
      <c r="F49" s="16" t="str">
        <f t="shared" si="7"/>
        <v>0152</v>
      </c>
      <c r="G49" s="16"/>
      <c r="H49" s="17"/>
      <c r="I49" s="18"/>
      <c r="J49" s="17"/>
      <c r="K49" s="16"/>
      <c r="L49" s="18"/>
      <c r="M49" s="18"/>
      <c r="N49" s="16">
        <f>LOOKUP(HEX2DEC(MID(F49,4,1)),VC!A1:C16)</f>
        <v>8</v>
      </c>
      <c r="O49" s="16">
        <f>LOOKUP(HEX2DEC(MID(F49,4,1)),VC!A1:B16)</f>
        <v>4</v>
      </c>
      <c r="P49" s="16">
        <f>LOOKUP(HEX2DEC(MID(F49,4,1)),VC!A1:D16)</f>
        <v>12</v>
      </c>
    </row>
    <row r="50" spans="2:16" x14ac:dyDescent="0.25">
      <c r="B50" s="15">
        <f t="shared" si="0"/>
        <v>81</v>
      </c>
      <c r="C50" s="15" t="str">
        <f t="shared" si="5"/>
        <v>1</v>
      </c>
      <c r="D50" s="15" t="str">
        <f t="shared" si="2"/>
        <v>51</v>
      </c>
      <c r="E50" s="15">
        <f t="shared" si="6"/>
        <v>81</v>
      </c>
      <c r="F50" s="16" t="str">
        <f t="shared" si="7"/>
        <v>0151</v>
      </c>
      <c r="G50" s="16"/>
      <c r="H50" s="17"/>
      <c r="I50" s="18"/>
      <c r="J50" s="17"/>
      <c r="K50" s="16"/>
      <c r="L50" s="18"/>
      <c r="M50" s="18"/>
      <c r="N50" s="16">
        <f>LOOKUP(HEX2DEC(MID(F50,4,1)),VC!A1:C16)</f>
        <v>9</v>
      </c>
      <c r="O50" s="16">
        <f>LOOKUP(HEX2DEC(MID(F50,4,1)),VC!A1:B16)</f>
        <v>3</v>
      </c>
      <c r="P50" s="16">
        <f>LOOKUP(HEX2DEC(MID(F50,4,1)),VC!A1:D16)</f>
        <v>11</v>
      </c>
    </row>
    <row r="51" spans="2:16" x14ac:dyDescent="0.25">
      <c r="B51" s="15">
        <f t="shared" si="0"/>
        <v>80</v>
      </c>
      <c r="C51" s="15" t="str">
        <f t="shared" si="5"/>
        <v>1</v>
      </c>
      <c r="D51" s="15" t="str">
        <f t="shared" si="2"/>
        <v>50</v>
      </c>
      <c r="E51" s="15">
        <f t="shared" si="6"/>
        <v>80</v>
      </c>
      <c r="F51" s="16" t="str">
        <f t="shared" si="7"/>
        <v>0150</v>
      </c>
      <c r="G51" s="16"/>
      <c r="H51" s="17"/>
      <c r="I51" s="18"/>
      <c r="J51" s="17"/>
      <c r="K51" s="16"/>
      <c r="L51" s="18"/>
      <c r="M51" s="18"/>
      <c r="N51" s="16">
        <f>LOOKUP(HEX2DEC(MID(F51,4,1)),VC!A1:C16)</f>
        <v>8</v>
      </c>
      <c r="O51" s="16">
        <f>LOOKUP(HEX2DEC(MID(F51,4,1)),VC!A1:B16)</f>
        <v>2</v>
      </c>
      <c r="P51" s="16">
        <f>LOOKUP(HEX2DEC(MID(F51,4,1)),VC!A1:D16)</f>
        <v>10</v>
      </c>
    </row>
    <row r="52" spans="2:16" x14ac:dyDescent="0.25">
      <c r="B52" s="15">
        <f t="shared" si="0"/>
        <v>79</v>
      </c>
      <c r="C52" s="15" t="str">
        <f t="shared" si="5"/>
        <v>1</v>
      </c>
      <c r="D52" s="15" t="str">
        <f t="shared" si="2"/>
        <v>4F</v>
      </c>
      <c r="E52" s="15">
        <f t="shared" si="6"/>
        <v>79</v>
      </c>
      <c r="F52" s="16" t="str">
        <f t="shared" si="7"/>
        <v>014F</v>
      </c>
      <c r="G52" s="16"/>
      <c r="H52" s="17"/>
      <c r="I52" s="18"/>
      <c r="J52" s="17"/>
      <c r="K52" s="16"/>
      <c r="L52" s="18"/>
      <c r="M52" s="18"/>
      <c r="N52" s="16">
        <f>LOOKUP(HEX2DEC(MID(F52,4,1)),VC!A1:C16)</f>
        <v>9</v>
      </c>
      <c r="O52" s="16">
        <f>LOOKUP(HEX2DEC(MID(F52,4,1)),VC!A1:B16)</f>
        <v>5</v>
      </c>
      <c r="P52" s="16">
        <f>LOOKUP(HEX2DEC(MID(F52,4,1)),VC!A1:D16)</f>
        <v>10</v>
      </c>
    </row>
    <row r="53" spans="2:16" x14ac:dyDescent="0.25">
      <c r="B53" s="15">
        <f t="shared" si="0"/>
        <v>78</v>
      </c>
      <c r="C53" s="15" t="str">
        <f t="shared" si="5"/>
        <v>1</v>
      </c>
      <c r="D53" s="15" t="str">
        <f t="shared" si="2"/>
        <v>4E</v>
      </c>
      <c r="E53" s="15">
        <f t="shared" si="6"/>
        <v>78</v>
      </c>
      <c r="F53" s="16" t="str">
        <f t="shared" si="7"/>
        <v>014E</v>
      </c>
      <c r="G53" s="16"/>
      <c r="H53" s="17"/>
      <c r="I53" s="18"/>
      <c r="J53" s="17"/>
      <c r="K53" s="16"/>
      <c r="L53" s="18"/>
      <c r="M53" s="18"/>
      <c r="N53" s="16">
        <f>LOOKUP(HEX2DEC(MID(F53,4,1)),VC!A1:C16)</f>
        <v>8</v>
      </c>
      <c r="O53" s="16">
        <f>LOOKUP(HEX2DEC(MID(F53,4,1)),VC!A1:B16)</f>
        <v>4</v>
      </c>
      <c r="P53" s="16">
        <f>LOOKUP(HEX2DEC(MID(F53,4,1)),VC!A1:D16)</f>
        <v>14</v>
      </c>
    </row>
    <row r="54" spans="2:16" x14ac:dyDescent="0.25">
      <c r="B54" s="15">
        <f t="shared" si="0"/>
        <v>77</v>
      </c>
      <c r="C54" s="15" t="str">
        <f t="shared" si="5"/>
        <v>1</v>
      </c>
      <c r="D54" s="15" t="str">
        <f t="shared" si="2"/>
        <v>4D</v>
      </c>
      <c r="E54" s="15">
        <f t="shared" si="6"/>
        <v>77</v>
      </c>
      <c r="F54" s="16" t="str">
        <f t="shared" si="7"/>
        <v>014D</v>
      </c>
      <c r="G54" s="16"/>
      <c r="H54" s="17"/>
      <c r="I54" s="18"/>
      <c r="J54" s="17"/>
      <c r="K54" s="16"/>
      <c r="L54" s="18"/>
      <c r="M54" s="18"/>
      <c r="N54" s="16">
        <f>LOOKUP(HEX2DEC(MID(F54,4,1)),VC!A1:C16)</f>
        <v>9</v>
      </c>
      <c r="O54" s="16">
        <f>LOOKUP(HEX2DEC(MID(F54,4,1)),VC!A1:B16)</f>
        <v>3</v>
      </c>
      <c r="P54" s="16">
        <f>LOOKUP(HEX2DEC(MID(F54,4,1)),VC!A1:D16)</f>
        <v>13</v>
      </c>
    </row>
    <row r="55" spans="2:16" x14ac:dyDescent="0.25">
      <c r="B55" s="15">
        <f t="shared" si="0"/>
        <v>76</v>
      </c>
      <c r="C55" s="15" t="str">
        <f t="shared" si="5"/>
        <v>1</v>
      </c>
      <c r="D55" s="15" t="str">
        <f t="shared" si="2"/>
        <v>4C</v>
      </c>
      <c r="E55" s="15">
        <f t="shared" si="6"/>
        <v>76</v>
      </c>
      <c r="F55" s="16" t="str">
        <f t="shared" si="7"/>
        <v>014C</v>
      </c>
      <c r="G55" s="16"/>
      <c r="H55" s="17"/>
      <c r="I55" s="18"/>
      <c r="J55" s="17"/>
      <c r="K55" s="16"/>
      <c r="L55" s="18"/>
      <c r="M55" s="18"/>
      <c r="N55" s="16">
        <f>LOOKUP(HEX2DEC(MID(F55,4,1)),VC!A1:C16)</f>
        <v>8</v>
      </c>
      <c r="O55" s="16">
        <f>LOOKUP(HEX2DEC(MID(F55,4,1)),VC!A1:B16)</f>
        <v>2</v>
      </c>
      <c r="P55" s="16">
        <f>LOOKUP(HEX2DEC(MID(F55,4,1)),VC!A1:D16)</f>
        <v>12</v>
      </c>
    </row>
    <row r="56" spans="2:16" x14ac:dyDescent="0.25">
      <c r="B56" s="15">
        <f t="shared" si="0"/>
        <v>75</v>
      </c>
      <c r="C56" s="15" t="str">
        <f t="shared" si="5"/>
        <v>1</v>
      </c>
      <c r="D56" s="15" t="str">
        <f t="shared" si="2"/>
        <v>4B</v>
      </c>
      <c r="E56" s="15">
        <f t="shared" si="6"/>
        <v>75</v>
      </c>
      <c r="F56" s="16" t="str">
        <f t="shared" si="7"/>
        <v>014B</v>
      </c>
      <c r="G56" s="16"/>
      <c r="H56" s="17"/>
      <c r="I56" s="18"/>
      <c r="J56" s="17"/>
      <c r="K56" s="16"/>
      <c r="L56" s="18"/>
      <c r="M56" s="18"/>
      <c r="N56" s="16">
        <f>LOOKUP(HEX2DEC(MID(F56,4,1)),VC!A1:C16)</f>
        <v>9</v>
      </c>
      <c r="O56" s="16">
        <f>LOOKUP(HEX2DEC(MID(F56,4,1)),VC!A1:B16)</f>
        <v>5</v>
      </c>
      <c r="P56" s="16">
        <f>LOOKUP(HEX2DEC(MID(F56,4,1)),VC!A1:D16)</f>
        <v>11</v>
      </c>
    </row>
    <row r="57" spans="2:16" x14ac:dyDescent="0.25">
      <c r="B57" s="15">
        <f t="shared" si="0"/>
        <v>74</v>
      </c>
      <c r="C57" s="15" t="str">
        <f t="shared" si="5"/>
        <v>1</v>
      </c>
      <c r="D57" s="15" t="str">
        <f t="shared" si="2"/>
        <v>4A</v>
      </c>
      <c r="E57" s="15">
        <f t="shared" si="6"/>
        <v>74</v>
      </c>
      <c r="F57" s="16" t="str">
        <f t="shared" si="7"/>
        <v>014A</v>
      </c>
      <c r="G57" s="16"/>
      <c r="H57" s="17"/>
      <c r="I57" s="18"/>
      <c r="J57" s="17"/>
      <c r="K57" s="16"/>
      <c r="L57" s="18"/>
      <c r="M57" s="18"/>
      <c r="N57" s="16">
        <f>LOOKUP(HEX2DEC(MID(F57,4,1)),VC!A1:C16)</f>
        <v>8</v>
      </c>
      <c r="O57" s="16">
        <f>LOOKUP(HEX2DEC(MID(F57,4,1)),VC!A1:B16)</f>
        <v>4</v>
      </c>
      <c r="P57" s="16">
        <f>LOOKUP(HEX2DEC(MID(F57,4,1)),VC!A1:D16)</f>
        <v>10</v>
      </c>
    </row>
    <row r="58" spans="2:16" x14ac:dyDescent="0.25">
      <c r="B58" s="15">
        <f t="shared" si="0"/>
        <v>73</v>
      </c>
      <c r="C58" s="15" t="str">
        <f t="shared" si="5"/>
        <v>1</v>
      </c>
      <c r="D58" s="15" t="str">
        <f t="shared" si="2"/>
        <v>49</v>
      </c>
      <c r="E58" s="15">
        <f t="shared" si="6"/>
        <v>73</v>
      </c>
      <c r="F58" s="16" t="str">
        <f t="shared" si="7"/>
        <v>0149</v>
      </c>
      <c r="G58" s="16"/>
      <c r="H58" s="17"/>
      <c r="I58" s="18"/>
      <c r="J58" s="17"/>
      <c r="K58" s="16"/>
      <c r="L58" s="18"/>
      <c r="M58" s="18"/>
      <c r="N58" s="16">
        <f>LOOKUP(HEX2DEC(MID(F58,4,1)),VC!A1:C16)</f>
        <v>9</v>
      </c>
      <c r="O58" s="16">
        <f>LOOKUP(HEX2DEC(MID(F58,4,1)),VC!A1:B16)</f>
        <v>3</v>
      </c>
      <c r="P58" s="16">
        <f>LOOKUP(HEX2DEC(MID(F58,4,1)),VC!A1:D16)</f>
        <v>14</v>
      </c>
    </row>
    <row r="59" spans="2:16" x14ac:dyDescent="0.25">
      <c r="B59" s="15">
        <f t="shared" si="0"/>
        <v>72</v>
      </c>
      <c r="C59" s="15" t="str">
        <f t="shared" si="5"/>
        <v>1</v>
      </c>
      <c r="D59" s="15" t="str">
        <f t="shared" si="2"/>
        <v>48</v>
      </c>
      <c r="E59" s="15">
        <f t="shared" si="6"/>
        <v>72</v>
      </c>
      <c r="F59" s="16" t="str">
        <f t="shared" si="7"/>
        <v>0148</v>
      </c>
      <c r="G59" s="16"/>
      <c r="H59" s="17"/>
      <c r="I59" s="18"/>
      <c r="J59" s="17"/>
      <c r="K59" s="16"/>
      <c r="L59" s="18"/>
      <c r="M59" s="18"/>
      <c r="N59" s="16">
        <f>LOOKUP(HEX2DEC(MID(F59,4,1)),VC!A1:C16)</f>
        <v>8</v>
      </c>
      <c r="O59" s="16">
        <f>LOOKUP(HEX2DEC(MID(F59,4,1)),VC!A1:B16)</f>
        <v>2</v>
      </c>
      <c r="P59" s="16">
        <f>LOOKUP(HEX2DEC(MID(F59,4,1)),VC!A1:D16)</f>
        <v>13</v>
      </c>
    </row>
    <row r="60" spans="2:16" x14ac:dyDescent="0.25">
      <c r="B60" s="15">
        <f t="shared" si="0"/>
        <v>71</v>
      </c>
      <c r="C60" s="15" t="str">
        <f t="shared" si="5"/>
        <v>1</v>
      </c>
      <c r="D60" s="15" t="str">
        <f t="shared" si="2"/>
        <v>47</v>
      </c>
      <c r="E60" s="15">
        <f t="shared" si="6"/>
        <v>71</v>
      </c>
      <c r="F60" s="16" t="str">
        <f t="shared" si="7"/>
        <v>0147</v>
      </c>
      <c r="G60" s="16"/>
      <c r="H60" s="17"/>
      <c r="I60" s="18"/>
      <c r="J60" s="17"/>
      <c r="K60" s="16"/>
      <c r="L60" s="18"/>
      <c r="M60" s="18"/>
      <c r="N60" s="16">
        <f>LOOKUP(HEX2DEC(MID(F60,4,1)),VC!A1:C16)</f>
        <v>9</v>
      </c>
      <c r="O60" s="16">
        <f>LOOKUP(HEX2DEC(MID(F60,4,1)),VC!A1:B16)</f>
        <v>5</v>
      </c>
      <c r="P60" s="16">
        <f>LOOKUP(HEX2DEC(MID(F60,4,1)),VC!A1:D16)</f>
        <v>12</v>
      </c>
    </row>
    <row r="61" spans="2:16" x14ac:dyDescent="0.25">
      <c r="B61" s="15">
        <f t="shared" si="0"/>
        <v>70</v>
      </c>
      <c r="C61" s="15" t="str">
        <f t="shared" si="5"/>
        <v>1</v>
      </c>
      <c r="D61" s="15" t="str">
        <f t="shared" si="2"/>
        <v>46</v>
      </c>
      <c r="E61" s="15">
        <f t="shared" si="6"/>
        <v>70</v>
      </c>
      <c r="F61" s="16" t="str">
        <f t="shared" si="7"/>
        <v>0146</v>
      </c>
      <c r="G61" s="16"/>
      <c r="H61" s="17"/>
      <c r="I61" s="18"/>
      <c r="J61" s="17"/>
      <c r="K61" s="16"/>
      <c r="L61" s="18"/>
      <c r="M61" s="18"/>
      <c r="N61" s="16">
        <f>LOOKUP(HEX2DEC(MID(F61,4,1)),VC!A1:C16)</f>
        <v>8</v>
      </c>
      <c r="O61" s="16">
        <f>LOOKUP(HEX2DEC(MID(F61,4,1)),VC!A1:B16)</f>
        <v>4</v>
      </c>
      <c r="P61" s="16">
        <f>LOOKUP(HEX2DEC(MID(F61,4,1)),VC!A1:D16)</f>
        <v>11</v>
      </c>
    </row>
    <row r="62" spans="2:16" x14ac:dyDescent="0.25">
      <c r="B62" s="15">
        <f t="shared" si="0"/>
        <v>69</v>
      </c>
      <c r="C62" s="15" t="str">
        <f t="shared" si="5"/>
        <v>1</v>
      </c>
      <c r="D62" s="15" t="str">
        <f t="shared" si="2"/>
        <v>45</v>
      </c>
      <c r="E62" s="15">
        <f t="shared" si="6"/>
        <v>69</v>
      </c>
      <c r="F62" s="16" t="str">
        <f t="shared" si="7"/>
        <v>0145</v>
      </c>
      <c r="G62" s="16"/>
      <c r="H62" s="17"/>
      <c r="I62" s="18"/>
      <c r="J62" s="17"/>
      <c r="K62" s="16"/>
      <c r="L62" s="18"/>
      <c r="M62" s="18"/>
      <c r="N62" s="16">
        <f>LOOKUP(HEX2DEC(MID(F62,4,1)),VC!A1:C16)</f>
        <v>9</v>
      </c>
      <c r="O62" s="16">
        <f>LOOKUP(HEX2DEC(MID(F62,4,1)),VC!A1:B16)</f>
        <v>3</v>
      </c>
      <c r="P62" s="16">
        <f>LOOKUP(HEX2DEC(MID(F62,4,1)),VC!A1:D16)</f>
        <v>10</v>
      </c>
    </row>
    <row r="63" spans="2:16" x14ac:dyDescent="0.25">
      <c r="B63" s="15">
        <f t="shared" si="0"/>
        <v>68</v>
      </c>
      <c r="C63" s="15" t="str">
        <f t="shared" si="5"/>
        <v>1</v>
      </c>
      <c r="D63" s="15" t="str">
        <f t="shared" si="2"/>
        <v>44</v>
      </c>
      <c r="E63" s="15">
        <f t="shared" si="6"/>
        <v>68</v>
      </c>
      <c r="F63" s="16" t="str">
        <f t="shared" si="7"/>
        <v>0144</v>
      </c>
      <c r="G63" s="16"/>
      <c r="H63" s="17"/>
      <c r="I63" s="18"/>
      <c r="J63" s="17"/>
      <c r="K63" s="16"/>
      <c r="L63" s="18"/>
      <c r="M63" s="18"/>
      <c r="N63" s="16">
        <f>LOOKUP(HEX2DEC(MID(F63,4,1)),VC!A1:C16)</f>
        <v>8</v>
      </c>
      <c r="O63" s="16">
        <f>LOOKUP(HEX2DEC(MID(F63,4,1)),VC!A1:B16)</f>
        <v>2</v>
      </c>
      <c r="P63" s="16">
        <f>LOOKUP(HEX2DEC(MID(F63,4,1)),VC!A1:D16)</f>
        <v>14</v>
      </c>
    </row>
    <row r="64" spans="2:16" x14ac:dyDescent="0.25">
      <c r="B64" s="15">
        <f t="shared" si="0"/>
        <v>67</v>
      </c>
      <c r="C64" s="15" t="str">
        <f t="shared" si="5"/>
        <v>1</v>
      </c>
      <c r="D64" s="15" t="str">
        <f t="shared" si="2"/>
        <v>43</v>
      </c>
      <c r="E64" s="15">
        <f t="shared" si="6"/>
        <v>67</v>
      </c>
      <c r="F64" s="16" t="str">
        <f t="shared" si="7"/>
        <v>0143</v>
      </c>
      <c r="G64" s="16"/>
      <c r="H64" s="17"/>
      <c r="I64" s="18"/>
      <c r="J64" s="17"/>
      <c r="K64" s="16"/>
      <c r="L64" s="18"/>
      <c r="M64" s="18"/>
      <c r="N64" s="16">
        <f>LOOKUP(HEX2DEC(MID(F64,4,1)),VC!A1:C16)</f>
        <v>9</v>
      </c>
      <c r="O64" s="16">
        <f>LOOKUP(HEX2DEC(MID(F64,4,1)),VC!A1:B16)</f>
        <v>5</v>
      </c>
      <c r="P64" s="16">
        <f>LOOKUP(HEX2DEC(MID(F64,4,1)),VC!A1:D16)</f>
        <v>13</v>
      </c>
    </row>
    <row r="65" spans="2:16" x14ac:dyDescent="0.25">
      <c r="B65" s="15">
        <f t="shared" si="0"/>
        <v>66</v>
      </c>
      <c r="C65" s="15" t="str">
        <f t="shared" si="5"/>
        <v>1</v>
      </c>
      <c r="D65" s="15" t="str">
        <f t="shared" si="2"/>
        <v>42</v>
      </c>
      <c r="E65" s="15">
        <f t="shared" si="6"/>
        <v>66</v>
      </c>
      <c r="F65" s="16" t="str">
        <f t="shared" si="7"/>
        <v>0142</v>
      </c>
      <c r="G65" s="16"/>
      <c r="H65" s="17"/>
      <c r="I65" s="18"/>
      <c r="J65" s="17"/>
      <c r="K65" s="16"/>
      <c r="L65" s="18"/>
      <c r="M65" s="18"/>
      <c r="N65" s="16">
        <f>LOOKUP(HEX2DEC(MID(F65,4,1)),VC!A1:C16)</f>
        <v>8</v>
      </c>
      <c r="O65" s="16">
        <f>LOOKUP(HEX2DEC(MID(F65,4,1)),VC!A1:B16)</f>
        <v>4</v>
      </c>
      <c r="P65" s="16">
        <f>LOOKUP(HEX2DEC(MID(F65,4,1)),VC!A1:D16)</f>
        <v>12</v>
      </c>
    </row>
    <row r="66" spans="2:16" x14ac:dyDescent="0.25">
      <c r="B66" s="15">
        <f t="shared" si="0"/>
        <v>65</v>
      </c>
      <c r="C66" s="15" t="str">
        <f t="shared" si="5"/>
        <v>1</v>
      </c>
      <c r="D66" s="15" t="str">
        <f t="shared" si="2"/>
        <v>41</v>
      </c>
      <c r="E66" s="15">
        <f t="shared" si="6"/>
        <v>65</v>
      </c>
      <c r="F66" s="16" t="str">
        <f t="shared" si="7"/>
        <v>0141</v>
      </c>
      <c r="G66" s="16"/>
      <c r="H66" s="17"/>
      <c r="I66" s="18"/>
      <c r="J66" s="17"/>
      <c r="K66" s="16"/>
      <c r="L66" s="18"/>
      <c r="M66" s="18"/>
      <c r="N66" s="16">
        <f>LOOKUP(HEX2DEC(MID(F66,4,1)),VC!A1:C16)</f>
        <v>9</v>
      </c>
      <c r="O66" s="16">
        <f>LOOKUP(HEX2DEC(MID(F66,4,1)),VC!A1:B16)</f>
        <v>3</v>
      </c>
      <c r="P66" s="16">
        <f>LOOKUP(HEX2DEC(MID(F66,4,1)),VC!A1:D16)</f>
        <v>11</v>
      </c>
    </row>
    <row r="67" spans="2:16" x14ac:dyDescent="0.25">
      <c r="B67" s="15">
        <f t="shared" si="0"/>
        <v>64</v>
      </c>
      <c r="C67" s="15" t="str">
        <f t="shared" si="5"/>
        <v>1</v>
      </c>
      <c r="D67" s="15" t="str">
        <f t="shared" si="2"/>
        <v>40</v>
      </c>
      <c r="E67" s="15">
        <f t="shared" si="6"/>
        <v>64</v>
      </c>
      <c r="F67" s="16" t="str">
        <f t="shared" si="7"/>
        <v>0140</v>
      </c>
      <c r="G67" s="16"/>
      <c r="H67" s="17"/>
      <c r="I67" s="18"/>
      <c r="J67" s="17"/>
      <c r="K67" s="16"/>
      <c r="L67" s="18"/>
      <c r="M67" s="18"/>
      <c r="N67" s="16">
        <f>LOOKUP(HEX2DEC(MID(F67,4,1)),VC!A1:C16)</f>
        <v>8</v>
      </c>
      <c r="O67" s="16">
        <f>LOOKUP(HEX2DEC(MID(F67,4,1)),VC!A1:B16)</f>
        <v>2</v>
      </c>
      <c r="P67" s="16">
        <f>LOOKUP(HEX2DEC(MID(F67,4,1)),VC!A1:D16)</f>
        <v>10</v>
      </c>
    </row>
    <row r="68" spans="2:16" ht="15" customHeight="1" x14ac:dyDescent="0.25">
      <c r="B68" s="15">
        <f t="shared" ref="B68:B129" si="8">B69+1</f>
        <v>63</v>
      </c>
      <c r="C68" s="15" t="str">
        <f t="shared" ref="C68:C99" si="9">C69</f>
        <v>1</v>
      </c>
      <c r="D68" s="15" t="str">
        <f t="shared" ref="D68:D129" si="10">DEC2HEX(HEX2DEC(D69)+1)</f>
        <v>3F</v>
      </c>
      <c r="E68" s="15">
        <f t="shared" ref="E68:E99" si="11">B68</f>
        <v>63</v>
      </c>
      <c r="F68" s="16" t="str">
        <f t="shared" ref="F68:F99" si="12">IF(HEX2DEC(D68)&gt;15,IF(HEX2DEC(C68) &gt; 15,CONCATENATE(C68,D68),CONCATENATE("0",C68,D68)),IF(HEX2DEC(C68) &gt; 15,CONCATENATE(C68,"0",D68),CONCATENATE("0",C68,"0",D68)))</f>
        <v>013F</v>
      </c>
      <c r="G68" s="16">
        <f t="shared" ref="G68:G128" si="13">G69</f>
        <v>128</v>
      </c>
      <c r="H68" s="17"/>
      <c r="I68" s="18"/>
      <c r="J68" s="17" t="s">
        <v>389</v>
      </c>
      <c r="K68" s="16" t="s">
        <v>468</v>
      </c>
      <c r="L68" s="18"/>
      <c r="M68" s="18"/>
      <c r="N68" s="16">
        <f>LOOKUP(HEX2DEC(MID(F68,4,1)),VC!A1:C16)</f>
        <v>9</v>
      </c>
      <c r="O68" s="16">
        <f>LOOKUP(HEX2DEC(MID(F68,4,1)),VC!A1:B16)</f>
        <v>5</v>
      </c>
      <c r="P68" s="16">
        <f>LOOKUP(HEX2DEC(MID(F68,4,1)),VC!A1:D16)</f>
        <v>10</v>
      </c>
    </row>
    <row r="69" spans="2:16" ht="15" customHeight="1" x14ac:dyDescent="0.25">
      <c r="B69" s="15">
        <f t="shared" si="8"/>
        <v>62</v>
      </c>
      <c r="C69" s="15" t="str">
        <f t="shared" si="9"/>
        <v>1</v>
      </c>
      <c r="D69" s="15" t="str">
        <f t="shared" si="10"/>
        <v>3E</v>
      </c>
      <c r="E69" s="15">
        <f t="shared" si="11"/>
        <v>62</v>
      </c>
      <c r="F69" s="16" t="str">
        <f t="shared" si="12"/>
        <v>013E</v>
      </c>
      <c r="G69" s="16">
        <f t="shared" si="13"/>
        <v>128</v>
      </c>
      <c r="H69" s="17"/>
      <c r="I69" s="18"/>
      <c r="J69" s="17" t="s">
        <v>389</v>
      </c>
      <c r="K69" s="16" t="s">
        <v>468</v>
      </c>
      <c r="L69" s="18"/>
      <c r="M69" s="18"/>
      <c r="N69" s="16">
        <f>LOOKUP(HEX2DEC(MID(F69,4,1)),VC!A1:C16)</f>
        <v>8</v>
      </c>
      <c r="O69" s="16">
        <f>LOOKUP(HEX2DEC(MID(F69,4,1)),VC!A1:B16)</f>
        <v>4</v>
      </c>
      <c r="P69" s="16">
        <f>LOOKUP(HEX2DEC(MID(F69,4,1)),VC!A1:D16)</f>
        <v>14</v>
      </c>
    </row>
    <row r="70" spans="2:16" ht="15" customHeight="1" x14ac:dyDescent="0.25">
      <c r="B70" s="15">
        <f t="shared" si="8"/>
        <v>61</v>
      </c>
      <c r="C70" s="15" t="str">
        <f t="shared" si="9"/>
        <v>1</v>
      </c>
      <c r="D70" s="15" t="str">
        <f t="shared" si="10"/>
        <v>3D</v>
      </c>
      <c r="E70" s="15">
        <f t="shared" si="11"/>
        <v>61</v>
      </c>
      <c r="F70" s="16" t="str">
        <f t="shared" si="12"/>
        <v>013D</v>
      </c>
      <c r="G70" s="16">
        <f t="shared" si="13"/>
        <v>128</v>
      </c>
      <c r="H70" s="17"/>
      <c r="I70" s="18"/>
      <c r="J70" s="17" t="s">
        <v>389</v>
      </c>
      <c r="K70" s="16" t="s">
        <v>468</v>
      </c>
      <c r="L70" s="18"/>
      <c r="M70" s="18"/>
      <c r="N70" s="16">
        <f>LOOKUP(HEX2DEC(MID(F70,4,1)),VC!A1:C16)</f>
        <v>9</v>
      </c>
      <c r="O70" s="16">
        <f>LOOKUP(HEX2DEC(MID(F70,4,1)),VC!A1:B16)</f>
        <v>3</v>
      </c>
      <c r="P70" s="16">
        <f>LOOKUP(HEX2DEC(MID(F70,4,1)),VC!A1:D16)</f>
        <v>13</v>
      </c>
    </row>
    <row r="71" spans="2:16" ht="15" customHeight="1" x14ac:dyDescent="0.25">
      <c r="B71" s="15">
        <f t="shared" si="8"/>
        <v>60</v>
      </c>
      <c r="C71" s="15" t="str">
        <f t="shared" si="9"/>
        <v>1</v>
      </c>
      <c r="D71" s="15" t="str">
        <f t="shared" si="10"/>
        <v>3C</v>
      </c>
      <c r="E71" s="15">
        <f t="shared" si="11"/>
        <v>60</v>
      </c>
      <c r="F71" s="16" t="str">
        <f t="shared" si="12"/>
        <v>013C</v>
      </c>
      <c r="G71" s="16">
        <f t="shared" si="13"/>
        <v>128</v>
      </c>
      <c r="H71" s="17"/>
      <c r="I71" s="18"/>
      <c r="J71" s="17" t="s">
        <v>389</v>
      </c>
      <c r="K71" s="16" t="s">
        <v>468</v>
      </c>
      <c r="L71" s="18"/>
      <c r="M71" s="18"/>
      <c r="N71" s="16">
        <f>LOOKUP(HEX2DEC(MID(F71,4,1)),VC!A1:C16)</f>
        <v>8</v>
      </c>
      <c r="O71" s="16">
        <f>LOOKUP(HEX2DEC(MID(F71,4,1)),VC!A1:B16)</f>
        <v>2</v>
      </c>
      <c r="P71" s="16">
        <f>LOOKUP(HEX2DEC(MID(F71,4,1)),VC!A1:D16)</f>
        <v>12</v>
      </c>
    </row>
    <row r="72" spans="2:16" ht="15" customHeight="1" x14ac:dyDescent="0.25">
      <c r="B72" s="15">
        <f t="shared" si="8"/>
        <v>59</v>
      </c>
      <c r="C72" s="15" t="str">
        <f t="shared" si="9"/>
        <v>1</v>
      </c>
      <c r="D72" s="15" t="str">
        <f t="shared" si="10"/>
        <v>3B</v>
      </c>
      <c r="E72" s="15">
        <f t="shared" si="11"/>
        <v>59</v>
      </c>
      <c r="F72" s="16" t="str">
        <f t="shared" si="12"/>
        <v>013B</v>
      </c>
      <c r="G72" s="16">
        <f t="shared" si="13"/>
        <v>128</v>
      </c>
      <c r="H72" s="17"/>
      <c r="I72" s="18"/>
      <c r="J72" s="17" t="s">
        <v>389</v>
      </c>
      <c r="K72" s="16" t="s">
        <v>468</v>
      </c>
      <c r="L72" s="18"/>
      <c r="M72" s="18"/>
      <c r="N72" s="16">
        <f>LOOKUP(HEX2DEC(MID(F72,4,1)),VC!A1:C16)</f>
        <v>9</v>
      </c>
      <c r="O72" s="16">
        <f>LOOKUP(HEX2DEC(MID(F72,4,1)),VC!A1:B16)</f>
        <v>5</v>
      </c>
      <c r="P72" s="16">
        <f>LOOKUP(HEX2DEC(MID(F72,4,1)),VC!A1:D16)</f>
        <v>11</v>
      </c>
    </row>
    <row r="73" spans="2:16" ht="15" customHeight="1" x14ac:dyDescent="0.25">
      <c r="B73" s="15">
        <f t="shared" si="8"/>
        <v>58</v>
      </c>
      <c r="C73" s="15" t="str">
        <f t="shared" si="9"/>
        <v>1</v>
      </c>
      <c r="D73" s="15" t="str">
        <f t="shared" si="10"/>
        <v>3A</v>
      </c>
      <c r="E73" s="15">
        <f t="shared" si="11"/>
        <v>58</v>
      </c>
      <c r="F73" s="16" t="str">
        <f t="shared" si="12"/>
        <v>013A</v>
      </c>
      <c r="G73" s="16">
        <f t="shared" si="13"/>
        <v>128</v>
      </c>
      <c r="H73" s="17"/>
      <c r="I73" s="18"/>
      <c r="J73" s="17" t="s">
        <v>389</v>
      </c>
      <c r="K73" s="16" t="s">
        <v>468</v>
      </c>
      <c r="L73" s="18"/>
      <c r="M73" s="18"/>
      <c r="N73" s="16">
        <f>LOOKUP(HEX2DEC(MID(F73,4,1)),VC!A1:C16)</f>
        <v>8</v>
      </c>
      <c r="O73" s="16">
        <f>LOOKUP(HEX2DEC(MID(F73,4,1)),VC!A1:B16)</f>
        <v>4</v>
      </c>
      <c r="P73" s="16">
        <f>LOOKUP(HEX2DEC(MID(F73,4,1)),VC!A1:D16)</f>
        <v>10</v>
      </c>
    </row>
    <row r="74" spans="2:16" ht="15" customHeight="1" x14ac:dyDescent="0.25">
      <c r="B74" s="15">
        <f t="shared" si="8"/>
        <v>57</v>
      </c>
      <c r="C74" s="15" t="str">
        <f t="shared" si="9"/>
        <v>1</v>
      </c>
      <c r="D74" s="15" t="str">
        <f t="shared" si="10"/>
        <v>39</v>
      </c>
      <c r="E74" s="15">
        <f t="shared" si="11"/>
        <v>57</v>
      </c>
      <c r="F74" s="16" t="str">
        <f t="shared" si="12"/>
        <v>0139</v>
      </c>
      <c r="G74" s="16">
        <f t="shared" si="13"/>
        <v>128</v>
      </c>
      <c r="H74" s="17"/>
      <c r="I74" s="18"/>
      <c r="J74" s="17" t="s">
        <v>389</v>
      </c>
      <c r="K74" s="16" t="s">
        <v>468</v>
      </c>
      <c r="L74" s="18"/>
      <c r="M74" s="18"/>
      <c r="N74" s="16">
        <f>LOOKUP(HEX2DEC(MID(F74,4,1)),VC!A1:C16)</f>
        <v>9</v>
      </c>
      <c r="O74" s="16">
        <f>LOOKUP(HEX2DEC(MID(F74,4,1)),VC!A1:B16)</f>
        <v>3</v>
      </c>
      <c r="P74" s="16">
        <f>LOOKUP(HEX2DEC(MID(F74,4,1)),VC!A1:D16)</f>
        <v>14</v>
      </c>
    </row>
    <row r="75" spans="2:16" ht="15" customHeight="1" x14ac:dyDescent="0.25">
      <c r="B75" s="15">
        <f t="shared" si="8"/>
        <v>56</v>
      </c>
      <c r="C75" s="15" t="str">
        <f t="shared" si="9"/>
        <v>1</v>
      </c>
      <c r="D75" s="15" t="str">
        <f t="shared" si="10"/>
        <v>38</v>
      </c>
      <c r="E75" s="15">
        <f t="shared" si="11"/>
        <v>56</v>
      </c>
      <c r="F75" s="16" t="str">
        <f t="shared" si="12"/>
        <v>0138</v>
      </c>
      <c r="G75" s="16">
        <f t="shared" si="13"/>
        <v>128</v>
      </c>
      <c r="H75" s="17"/>
      <c r="I75" s="18"/>
      <c r="J75" s="17" t="s">
        <v>389</v>
      </c>
      <c r="K75" s="16" t="s">
        <v>468</v>
      </c>
      <c r="L75" s="18"/>
      <c r="M75" s="18"/>
      <c r="N75" s="16">
        <f>LOOKUP(HEX2DEC(MID(F75,4,1)),VC!A1:C16)</f>
        <v>8</v>
      </c>
      <c r="O75" s="16">
        <f>LOOKUP(HEX2DEC(MID(F75,4,1)),VC!A1:B16)</f>
        <v>2</v>
      </c>
      <c r="P75" s="16">
        <f>LOOKUP(HEX2DEC(MID(F75,4,1)),VC!A1:D16)</f>
        <v>13</v>
      </c>
    </row>
    <row r="76" spans="2:16" ht="15" customHeight="1" x14ac:dyDescent="0.25">
      <c r="B76" s="15">
        <f t="shared" si="8"/>
        <v>55</v>
      </c>
      <c r="C76" s="15" t="str">
        <f t="shared" si="9"/>
        <v>1</v>
      </c>
      <c r="D76" s="15" t="str">
        <f t="shared" si="10"/>
        <v>37</v>
      </c>
      <c r="E76" s="15">
        <f t="shared" si="11"/>
        <v>55</v>
      </c>
      <c r="F76" s="16" t="str">
        <f t="shared" si="12"/>
        <v>0137</v>
      </c>
      <c r="G76" s="16">
        <f t="shared" si="13"/>
        <v>128</v>
      </c>
      <c r="H76" s="17"/>
      <c r="I76" s="18"/>
      <c r="J76" s="17" t="s">
        <v>389</v>
      </c>
      <c r="K76" s="16" t="s">
        <v>468</v>
      </c>
      <c r="L76" s="18"/>
      <c r="M76" s="18"/>
      <c r="N76" s="16">
        <f>LOOKUP(HEX2DEC(MID(F76,4,1)),VC!A1:C16)</f>
        <v>9</v>
      </c>
      <c r="O76" s="16">
        <f>LOOKUP(HEX2DEC(MID(F76,4,1)),VC!A1:B16)</f>
        <v>5</v>
      </c>
      <c r="P76" s="16">
        <f>LOOKUP(HEX2DEC(MID(F76,4,1)),VC!A1:D16)</f>
        <v>12</v>
      </c>
    </row>
    <row r="77" spans="2:16" ht="15" customHeight="1" x14ac:dyDescent="0.25">
      <c r="B77" s="15">
        <f t="shared" si="8"/>
        <v>54</v>
      </c>
      <c r="C77" s="15" t="str">
        <f t="shared" si="9"/>
        <v>1</v>
      </c>
      <c r="D77" s="15" t="str">
        <f t="shared" si="10"/>
        <v>36</v>
      </c>
      <c r="E77" s="15">
        <f t="shared" si="11"/>
        <v>54</v>
      </c>
      <c r="F77" s="16" t="str">
        <f t="shared" si="12"/>
        <v>0136</v>
      </c>
      <c r="G77" s="16">
        <f t="shared" si="13"/>
        <v>128</v>
      </c>
      <c r="H77" s="17"/>
      <c r="I77" s="18"/>
      <c r="J77" s="17" t="s">
        <v>389</v>
      </c>
      <c r="K77" s="16" t="s">
        <v>468</v>
      </c>
      <c r="L77" s="18"/>
      <c r="M77" s="18"/>
      <c r="N77" s="16">
        <f>LOOKUP(HEX2DEC(MID(F77,4,1)),VC!A1:C16)</f>
        <v>8</v>
      </c>
      <c r="O77" s="16">
        <f>LOOKUP(HEX2DEC(MID(F77,4,1)),VC!A1:B16)</f>
        <v>4</v>
      </c>
      <c r="P77" s="16">
        <f>LOOKUP(HEX2DEC(MID(F77,4,1)),VC!A1:D16)</f>
        <v>11</v>
      </c>
    </row>
    <row r="78" spans="2:16" ht="15" customHeight="1" x14ac:dyDescent="0.25">
      <c r="B78" s="15">
        <f t="shared" si="8"/>
        <v>53</v>
      </c>
      <c r="C78" s="15" t="str">
        <f t="shared" si="9"/>
        <v>1</v>
      </c>
      <c r="D78" s="15" t="str">
        <f t="shared" si="10"/>
        <v>35</v>
      </c>
      <c r="E78" s="15">
        <f t="shared" si="11"/>
        <v>53</v>
      </c>
      <c r="F78" s="16" t="str">
        <f t="shared" si="12"/>
        <v>0135</v>
      </c>
      <c r="G78" s="16">
        <f t="shared" si="13"/>
        <v>128</v>
      </c>
      <c r="H78" s="17"/>
      <c r="I78" s="18"/>
      <c r="J78" s="17" t="s">
        <v>389</v>
      </c>
      <c r="K78" s="16" t="s">
        <v>468</v>
      </c>
      <c r="L78" s="18"/>
      <c r="M78" s="18"/>
      <c r="N78" s="16">
        <f>LOOKUP(HEX2DEC(MID(F78,4,1)),VC!A1:C16)</f>
        <v>9</v>
      </c>
      <c r="O78" s="16">
        <f>LOOKUP(HEX2DEC(MID(F78,4,1)),VC!A1:B16)</f>
        <v>3</v>
      </c>
      <c r="P78" s="16">
        <f>LOOKUP(HEX2DEC(MID(F78,4,1)),VC!A1:D16)</f>
        <v>10</v>
      </c>
    </row>
    <row r="79" spans="2:16" ht="15" customHeight="1" x14ac:dyDescent="0.25">
      <c r="B79" s="15">
        <f t="shared" si="8"/>
        <v>52</v>
      </c>
      <c r="C79" s="15" t="str">
        <f t="shared" si="9"/>
        <v>1</v>
      </c>
      <c r="D79" s="15" t="str">
        <f t="shared" si="10"/>
        <v>34</v>
      </c>
      <c r="E79" s="15">
        <f t="shared" si="11"/>
        <v>52</v>
      </c>
      <c r="F79" s="16" t="str">
        <f t="shared" si="12"/>
        <v>0134</v>
      </c>
      <c r="G79" s="16">
        <f t="shared" si="13"/>
        <v>128</v>
      </c>
      <c r="H79" s="17"/>
      <c r="I79" s="18"/>
      <c r="J79" s="17" t="s">
        <v>389</v>
      </c>
      <c r="K79" s="16" t="s">
        <v>468</v>
      </c>
      <c r="L79" s="18"/>
      <c r="M79" s="18"/>
      <c r="N79" s="16">
        <f>LOOKUP(HEX2DEC(MID(F79,4,1)),VC!A1:C16)</f>
        <v>8</v>
      </c>
      <c r="O79" s="16">
        <f>LOOKUP(HEX2DEC(MID(F79,4,1)),VC!A1:B16)</f>
        <v>2</v>
      </c>
      <c r="P79" s="16">
        <f>LOOKUP(HEX2DEC(MID(F79,4,1)),VC!A1:D16)</f>
        <v>14</v>
      </c>
    </row>
    <row r="80" spans="2:16" ht="15" customHeight="1" x14ac:dyDescent="0.25">
      <c r="B80" s="15">
        <f t="shared" si="8"/>
        <v>51</v>
      </c>
      <c r="C80" s="15" t="str">
        <f t="shared" si="9"/>
        <v>1</v>
      </c>
      <c r="D80" s="15" t="str">
        <f t="shared" si="10"/>
        <v>33</v>
      </c>
      <c r="E80" s="15">
        <f t="shared" si="11"/>
        <v>51</v>
      </c>
      <c r="F80" s="16" t="str">
        <f t="shared" si="12"/>
        <v>0133</v>
      </c>
      <c r="G80" s="16">
        <f t="shared" si="13"/>
        <v>128</v>
      </c>
      <c r="H80" s="17"/>
      <c r="I80" s="18"/>
      <c r="J80" s="17" t="s">
        <v>389</v>
      </c>
      <c r="K80" s="16" t="s">
        <v>468</v>
      </c>
      <c r="L80" s="18"/>
      <c r="M80" s="18"/>
      <c r="N80" s="16">
        <f>LOOKUP(HEX2DEC(MID(F80,4,1)),VC!A1:C16)</f>
        <v>9</v>
      </c>
      <c r="O80" s="16">
        <f>LOOKUP(HEX2DEC(MID(F80,4,1)),VC!A1:B16)</f>
        <v>5</v>
      </c>
      <c r="P80" s="16">
        <f>LOOKUP(HEX2DEC(MID(F80,4,1)),VC!A1:D16)</f>
        <v>13</v>
      </c>
    </row>
    <row r="81" spans="2:16" ht="15" customHeight="1" x14ac:dyDescent="0.25">
      <c r="B81" s="15">
        <f t="shared" si="8"/>
        <v>50</v>
      </c>
      <c r="C81" s="15" t="str">
        <f t="shared" si="9"/>
        <v>1</v>
      </c>
      <c r="D81" s="15" t="str">
        <f t="shared" si="10"/>
        <v>32</v>
      </c>
      <c r="E81" s="15">
        <f t="shared" si="11"/>
        <v>50</v>
      </c>
      <c r="F81" s="16" t="str">
        <f t="shared" si="12"/>
        <v>0132</v>
      </c>
      <c r="G81" s="16">
        <f t="shared" si="13"/>
        <v>128</v>
      </c>
      <c r="H81" s="17"/>
      <c r="I81" s="18"/>
      <c r="J81" s="17" t="s">
        <v>389</v>
      </c>
      <c r="K81" s="16" t="s">
        <v>468</v>
      </c>
      <c r="L81" s="18"/>
      <c r="M81" s="18"/>
      <c r="N81" s="16">
        <f>LOOKUP(HEX2DEC(MID(F81,4,1)),VC!A1:C16)</f>
        <v>8</v>
      </c>
      <c r="O81" s="16">
        <f>LOOKUP(HEX2DEC(MID(F81,4,1)),VC!A1:B16)</f>
        <v>4</v>
      </c>
      <c r="P81" s="16">
        <f>LOOKUP(HEX2DEC(MID(F81,4,1)),VC!A1:D16)</f>
        <v>12</v>
      </c>
    </row>
    <row r="82" spans="2:16" ht="15" customHeight="1" x14ac:dyDescent="0.25">
      <c r="B82" s="15">
        <f t="shared" si="8"/>
        <v>49</v>
      </c>
      <c r="C82" s="15" t="str">
        <f t="shared" si="9"/>
        <v>1</v>
      </c>
      <c r="D82" s="15" t="str">
        <f t="shared" si="10"/>
        <v>31</v>
      </c>
      <c r="E82" s="15">
        <f t="shared" si="11"/>
        <v>49</v>
      </c>
      <c r="F82" s="16" t="str">
        <f t="shared" si="12"/>
        <v>0131</v>
      </c>
      <c r="G82" s="16">
        <f t="shared" si="13"/>
        <v>128</v>
      </c>
      <c r="H82" s="17"/>
      <c r="I82" s="18"/>
      <c r="J82" s="17" t="s">
        <v>389</v>
      </c>
      <c r="K82" s="16" t="s">
        <v>468</v>
      </c>
      <c r="L82" s="18"/>
      <c r="M82" s="18"/>
      <c r="N82" s="16">
        <f>LOOKUP(HEX2DEC(MID(F82,4,1)),VC!A1:C16)</f>
        <v>9</v>
      </c>
      <c r="O82" s="16">
        <f>LOOKUP(HEX2DEC(MID(F82,4,1)),VC!A1:B16)</f>
        <v>3</v>
      </c>
      <c r="P82" s="16">
        <f>LOOKUP(HEX2DEC(MID(F82,4,1)),VC!A1:D16)</f>
        <v>11</v>
      </c>
    </row>
    <row r="83" spans="2:16" ht="15" customHeight="1" x14ac:dyDescent="0.25">
      <c r="B83" s="15">
        <f t="shared" si="8"/>
        <v>48</v>
      </c>
      <c r="C83" s="15" t="str">
        <f t="shared" si="9"/>
        <v>1</v>
      </c>
      <c r="D83" s="15" t="str">
        <f t="shared" si="10"/>
        <v>30</v>
      </c>
      <c r="E83" s="15">
        <f t="shared" si="11"/>
        <v>48</v>
      </c>
      <c r="F83" s="16" t="str">
        <f t="shared" si="12"/>
        <v>0130</v>
      </c>
      <c r="G83" s="16">
        <f t="shared" si="13"/>
        <v>128</v>
      </c>
      <c r="H83" s="17"/>
      <c r="I83" s="18"/>
      <c r="J83" s="17" t="s">
        <v>389</v>
      </c>
      <c r="K83" s="16" t="s">
        <v>468</v>
      </c>
      <c r="L83" s="18"/>
      <c r="M83" s="18"/>
      <c r="N83" s="16">
        <f>LOOKUP(HEX2DEC(MID(F83,4,1)),VC!A1:C16)</f>
        <v>8</v>
      </c>
      <c r="O83" s="16">
        <f>LOOKUP(HEX2DEC(MID(F83,4,1)),VC!A1:B16)</f>
        <v>2</v>
      </c>
      <c r="P83" s="16">
        <f>LOOKUP(HEX2DEC(MID(F83,4,1)),VC!A1:D16)</f>
        <v>10</v>
      </c>
    </row>
    <row r="84" spans="2:16" ht="15" customHeight="1" x14ac:dyDescent="0.25">
      <c r="B84" s="15">
        <f t="shared" si="8"/>
        <v>47</v>
      </c>
      <c r="C84" s="15" t="str">
        <f t="shared" si="9"/>
        <v>1</v>
      </c>
      <c r="D84" s="15" t="str">
        <f t="shared" si="10"/>
        <v>2F</v>
      </c>
      <c r="E84" s="15">
        <f t="shared" si="11"/>
        <v>47</v>
      </c>
      <c r="F84" s="16" t="str">
        <f t="shared" si="12"/>
        <v>012F</v>
      </c>
      <c r="G84" s="16">
        <f t="shared" si="13"/>
        <v>128</v>
      </c>
      <c r="H84" s="17"/>
      <c r="I84" s="18"/>
      <c r="J84" s="17" t="s">
        <v>389</v>
      </c>
      <c r="K84" s="16" t="s">
        <v>468</v>
      </c>
      <c r="L84" s="18"/>
      <c r="M84" s="18"/>
      <c r="N84" s="16">
        <f>LOOKUP(HEX2DEC(MID(F84,4,1)),VC!A1:C16)</f>
        <v>9</v>
      </c>
      <c r="O84" s="16">
        <f>LOOKUP(HEX2DEC(MID(F84,4,1)),VC!A1:B16)</f>
        <v>5</v>
      </c>
      <c r="P84" s="16">
        <f>LOOKUP(HEX2DEC(MID(F84,4,1)),VC!A1:D16)</f>
        <v>10</v>
      </c>
    </row>
    <row r="85" spans="2:16" ht="15" customHeight="1" x14ac:dyDescent="0.25">
      <c r="B85" s="15">
        <f t="shared" si="8"/>
        <v>46</v>
      </c>
      <c r="C85" s="15" t="str">
        <f t="shared" si="9"/>
        <v>1</v>
      </c>
      <c r="D85" s="15" t="str">
        <f t="shared" si="10"/>
        <v>2E</v>
      </c>
      <c r="E85" s="15">
        <f t="shared" si="11"/>
        <v>46</v>
      </c>
      <c r="F85" s="16" t="str">
        <f t="shared" si="12"/>
        <v>012E</v>
      </c>
      <c r="G85" s="16">
        <f t="shared" si="13"/>
        <v>128</v>
      </c>
      <c r="H85" s="17"/>
      <c r="I85" s="18"/>
      <c r="J85" s="17" t="s">
        <v>389</v>
      </c>
      <c r="K85" s="16" t="s">
        <v>468</v>
      </c>
      <c r="L85" s="18"/>
      <c r="M85" s="18"/>
      <c r="N85" s="16">
        <f>LOOKUP(HEX2DEC(MID(F85,4,1)),VC!A1:C16)</f>
        <v>8</v>
      </c>
      <c r="O85" s="16">
        <f>LOOKUP(HEX2DEC(MID(F85,4,1)),VC!A1:B16)</f>
        <v>4</v>
      </c>
      <c r="P85" s="16">
        <f>LOOKUP(HEX2DEC(MID(F85,4,1)),VC!A1:D16)</f>
        <v>14</v>
      </c>
    </row>
    <row r="86" spans="2:16" ht="15" customHeight="1" x14ac:dyDescent="0.25">
      <c r="B86" s="15">
        <f t="shared" si="8"/>
        <v>45</v>
      </c>
      <c r="C86" s="15" t="str">
        <f t="shared" si="9"/>
        <v>1</v>
      </c>
      <c r="D86" s="15" t="str">
        <f t="shared" si="10"/>
        <v>2D</v>
      </c>
      <c r="E86" s="15">
        <f t="shared" si="11"/>
        <v>45</v>
      </c>
      <c r="F86" s="16" t="str">
        <f t="shared" si="12"/>
        <v>012D</v>
      </c>
      <c r="G86" s="16">
        <f t="shared" si="13"/>
        <v>128</v>
      </c>
      <c r="H86" s="17"/>
      <c r="I86" s="18"/>
      <c r="J86" s="17" t="s">
        <v>389</v>
      </c>
      <c r="K86" s="16" t="s">
        <v>468</v>
      </c>
      <c r="L86" s="18"/>
      <c r="M86" s="18"/>
      <c r="N86" s="16">
        <f>LOOKUP(HEX2DEC(MID(F86,4,1)),VC!A1:C16)</f>
        <v>9</v>
      </c>
      <c r="O86" s="16">
        <f>LOOKUP(HEX2DEC(MID(F86,4,1)),VC!A1:B16)</f>
        <v>3</v>
      </c>
      <c r="P86" s="16">
        <f>LOOKUP(HEX2DEC(MID(F86,4,1)),VC!A1:D16)</f>
        <v>13</v>
      </c>
    </row>
    <row r="87" spans="2:16" ht="15" customHeight="1" x14ac:dyDescent="0.25">
      <c r="B87" s="15">
        <f t="shared" si="8"/>
        <v>44</v>
      </c>
      <c r="C87" s="15" t="str">
        <f t="shared" si="9"/>
        <v>1</v>
      </c>
      <c r="D87" s="15" t="str">
        <f t="shared" si="10"/>
        <v>2C</v>
      </c>
      <c r="E87" s="15">
        <f t="shared" si="11"/>
        <v>44</v>
      </c>
      <c r="F87" s="16" t="str">
        <f t="shared" si="12"/>
        <v>012C</v>
      </c>
      <c r="G87" s="16">
        <f t="shared" si="13"/>
        <v>128</v>
      </c>
      <c r="H87" s="17"/>
      <c r="I87" s="18"/>
      <c r="J87" s="17" t="s">
        <v>389</v>
      </c>
      <c r="K87" s="16" t="s">
        <v>468</v>
      </c>
      <c r="L87" s="18"/>
      <c r="M87" s="18"/>
      <c r="N87" s="16">
        <f>LOOKUP(HEX2DEC(MID(F87,4,1)),VC!A1:C16)</f>
        <v>8</v>
      </c>
      <c r="O87" s="16">
        <f>LOOKUP(HEX2DEC(MID(F87,4,1)),VC!A1:B16)</f>
        <v>2</v>
      </c>
      <c r="P87" s="16">
        <f>LOOKUP(HEX2DEC(MID(F87,4,1)),VC!A1:D16)</f>
        <v>12</v>
      </c>
    </row>
    <row r="88" spans="2:16" ht="15" customHeight="1" x14ac:dyDescent="0.25">
      <c r="B88" s="15">
        <f t="shared" si="8"/>
        <v>43</v>
      </c>
      <c r="C88" s="15" t="str">
        <f t="shared" si="9"/>
        <v>1</v>
      </c>
      <c r="D88" s="15" t="str">
        <f t="shared" si="10"/>
        <v>2B</v>
      </c>
      <c r="E88" s="15">
        <f t="shared" si="11"/>
        <v>43</v>
      </c>
      <c r="F88" s="16" t="str">
        <f t="shared" si="12"/>
        <v>012B</v>
      </c>
      <c r="G88" s="16">
        <f t="shared" si="13"/>
        <v>128</v>
      </c>
      <c r="H88" s="17"/>
      <c r="I88" s="18"/>
      <c r="J88" s="17" t="s">
        <v>389</v>
      </c>
      <c r="K88" s="16" t="s">
        <v>468</v>
      </c>
      <c r="L88" s="18"/>
      <c r="M88" s="18"/>
      <c r="N88" s="16">
        <f>LOOKUP(HEX2DEC(MID(F88,4,1)),VC!A1:C16)</f>
        <v>9</v>
      </c>
      <c r="O88" s="16">
        <f>LOOKUP(HEX2DEC(MID(F88,4,1)),VC!A1:B16)</f>
        <v>5</v>
      </c>
      <c r="P88" s="16">
        <f>LOOKUP(HEX2DEC(MID(F88,4,1)),VC!A1:D16)</f>
        <v>11</v>
      </c>
    </row>
    <row r="89" spans="2:16" ht="15" customHeight="1" x14ac:dyDescent="0.25">
      <c r="B89" s="15">
        <f t="shared" si="8"/>
        <v>42</v>
      </c>
      <c r="C89" s="15" t="str">
        <f t="shared" si="9"/>
        <v>1</v>
      </c>
      <c r="D89" s="15" t="str">
        <f t="shared" si="10"/>
        <v>2A</v>
      </c>
      <c r="E89" s="15">
        <f t="shared" si="11"/>
        <v>42</v>
      </c>
      <c r="F89" s="16" t="str">
        <f t="shared" si="12"/>
        <v>012A</v>
      </c>
      <c r="G89" s="16">
        <f t="shared" si="13"/>
        <v>128</v>
      </c>
      <c r="H89" s="17"/>
      <c r="I89" s="18"/>
      <c r="J89" s="17" t="s">
        <v>389</v>
      </c>
      <c r="K89" s="16" t="s">
        <v>468</v>
      </c>
      <c r="L89" s="18"/>
      <c r="M89" s="18"/>
      <c r="N89" s="16">
        <f>LOOKUP(HEX2DEC(MID(F89,4,1)),VC!A1:C16)</f>
        <v>8</v>
      </c>
      <c r="O89" s="16">
        <f>LOOKUP(HEX2DEC(MID(F89,4,1)),VC!A1:B16)</f>
        <v>4</v>
      </c>
      <c r="P89" s="16">
        <f>LOOKUP(HEX2DEC(MID(F89,4,1)),VC!A1:D16)</f>
        <v>10</v>
      </c>
    </row>
    <row r="90" spans="2:16" ht="15" customHeight="1" x14ac:dyDescent="0.25">
      <c r="B90" s="15">
        <f t="shared" si="8"/>
        <v>41</v>
      </c>
      <c r="C90" s="15" t="str">
        <f t="shared" si="9"/>
        <v>1</v>
      </c>
      <c r="D90" s="15" t="str">
        <f t="shared" si="10"/>
        <v>29</v>
      </c>
      <c r="E90" s="15">
        <f t="shared" si="11"/>
        <v>41</v>
      </c>
      <c r="F90" s="16" t="str">
        <f t="shared" si="12"/>
        <v>0129</v>
      </c>
      <c r="G90" s="16">
        <f t="shared" si="13"/>
        <v>128</v>
      </c>
      <c r="H90" s="17"/>
      <c r="I90" s="18"/>
      <c r="J90" s="17" t="s">
        <v>389</v>
      </c>
      <c r="K90" s="16" t="s">
        <v>468</v>
      </c>
      <c r="L90" s="18"/>
      <c r="M90" s="18"/>
      <c r="N90" s="16">
        <f>LOOKUP(HEX2DEC(MID(F90,4,1)),VC!A1:C16)</f>
        <v>9</v>
      </c>
      <c r="O90" s="16">
        <f>LOOKUP(HEX2DEC(MID(F90,4,1)),VC!A1:B16)</f>
        <v>3</v>
      </c>
      <c r="P90" s="16">
        <f>LOOKUP(HEX2DEC(MID(F90,4,1)),VC!A1:D16)</f>
        <v>14</v>
      </c>
    </row>
    <row r="91" spans="2:16" ht="15" customHeight="1" x14ac:dyDescent="0.25">
      <c r="B91" s="15">
        <f t="shared" si="8"/>
        <v>40</v>
      </c>
      <c r="C91" s="15" t="str">
        <f t="shared" si="9"/>
        <v>1</v>
      </c>
      <c r="D91" s="15" t="str">
        <f t="shared" si="10"/>
        <v>28</v>
      </c>
      <c r="E91" s="15">
        <f t="shared" si="11"/>
        <v>40</v>
      </c>
      <c r="F91" s="16" t="str">
        <f t="shared" si="12"/>
        <v>0128</v>
      </c>
      <c r="G91" s="16">
        <f t="shared" si="13"/>
        <v>128</v>
      </c>
      <c r="H91" s="17"/>
      <c r="I91" s="18"/>
      <c r="J91" s="17" t="s">
        <v>389</v>
      </c>
      <c r="K91" s="16" t="s">
        <v>468</v>
      </c>
      <c r="L91" s="18"/>
      <c r="M91" s="18"/>
      <c r="N91" s="16">
        <f>LOOKUP(HEX2DEC(MID(F91,4,1)),VC!A1:C16)</f>
        <v>8</v>
      </c>
      <c r="O91" s="16">
        <f>LOOKUP(HEX2DEC(MID(F91,4,1)),VC!A1:B16)</f>
        <v>2</v>
      </c>
      <c r="P91" s="16">
        <f>LOOKUP(HEX2DEC(MID(F91,4,1)),VC!A1:D16)</f>
        <v>13</v>
      </c>
    </row>
    <row r="92" spans="2:16" ht="15" customHeight="1" x14ac:dyDescent="0.25">
      <c r="B92" s="15">
        <f t="shared" si="8"/>
        <v>39</v>
      </c>
      <c r="C92" s="15" t="str">
        <f t="shared" si="9"/>
        <v>1</v>
      </c>
      <c r="D92" s="15" t="str">
        <f t="shared" si="10"/>
        <v>27</v>
      </c>
      <c r="E92" s="15">
        <f t="shared" si="11"/>
        <v>39</v>
      </c>
      <c r="F92" s="16" t="str">
        <f t="shared" si="12"/>
        <v>0127</v>
      </c>
      <c r="G92" s="16">
        <f t="shared" si="13"/>
        <v>128</v>
      </c>
      <c r="H92" s="17"/>
      <c r="I92" s="18"/>
      <c r="J92" s="17" t="s">
        <v>389</v>
      </c>
      <c r="K92" s="16" t="s">
        <v>468</v>
      </c>
      <c r="L92" s="18"/>
      <c r="M92" s="18"/>
      <c r="N92" s="16">
        <f>LOOKUP(HEX2DEC(MID(F92,4,1)),VC!A1:C16)</f>
        <v>9</v>
      </c>
      <c r="O92" s="16">
        <f>LOOKUP(HEX2DEC(MID(F92,4,1)),VC!A1:B16)</f>
        <v>5</v>
      </c>
      <c r="P92" s="16">
        <f>LOOKUP(HEX2DEC(MID(F92,4,1)),VC!A1:D16)</f>
        <v>12</v>
      </c>
    </row>
    <row r="93" spans="2:16" ht="15" customHeight="1" x14ac:dyDescent="0.25">
      <c r="B93" s="15">
        <f t="shared" si="8"/>
        <v>38</v>
      </c>
      <c r="C93" s="15" t="str">
        <f t="shared" si="9"/>
        <v>1</v>
      </c>
      <c r="D93" s="15" t="str">
        <f t="shared" si="10"/>
        <v>26</v>
      </c>
      <c r="E93" s="15">
        <f t="shared" si="11"/>
        <v>38</v>
      </c>
      <c r="F93" s="16" t="str">
        <f t="shared" si="12"/>
        <v>0126</v>
      </c>
      <c r="G93" s="16">
        <f t="shared" si="13"/>
        <v>128</v>
      </c>
      <c r="H93" s="17"/>
      <c r="I93" s="18"/>
      <c r="J93" s="17" t="s">
        <v>389</v>
      </c>
      <c r="K93" s="16" t="s">
        <v>468</v>
      </c>
      <c r="L93" s="18"/>
      <c r="M93" s="18"/>
      <c r="N93" s="16">
        <f>LOOKUP(HEX2DEC(MID(F93,4,1)),VC!A1:C16)</f>
        <v>8</v>
      </c>
      <c r="O93" s="16">
        <f>LOOKUP(HEX2DEC(MID(F93,4,1)),VC!A1:B16)</f>
        <v>4</v>
      </c>
      <c r="P93" s="16">
        <f>LOOKUP(HEX2DEC(MID(F93,4,1)),VC!A1:D16)</f>
        <v>11</v>
      </c>
    </row>
    <row r="94" spans="2:16" ht="15" customHeight="1" x14ac:dyDescent="0.25">
      <c r="B94" s="15">
        <f t="shared" si="8"/>
        <v>37</v>
      </c>
      <c r="C94" s="15" t="str">
        <f t="shared" si="9"/>
        <v>1</v>
      </c>
      <c r="D94" s="15" t="str">
        <f t="shared" si="10"/>
        <v>25</v>
      </c>
      <c r="E94" s="15">
        <f t="shared" si="11"/>
        <v>37</v>
      </c>
      <c r="F94" s="16" t="str">
        <f t="shared" si="12"/>
        <v>0125</v>
      </c>
      <c r="G94" s="16">
        <f t="shared" si="13"/>
        <v>128</v>
      </c>
      <c r="H94" s="17"/>
      <c r="I94" s="18"/>
      <c r="J94" s="17" t="s">
        <v>389</v>
      </c>
      <c r="K94" s="16" t="s">
        <v>468</v>
      </c>
      <c r="L94" s="18"/>
      <c r="M94" s="18"/>
      <c r="N94" s="16">
        <f>LOOKUP(HEX2DEC(MID(F94,4,1)),VC!A1:C16)</f>
        <v>9</v>
      </c>
      <c r="O94" s="16">
        <f>LOOKUP(HEX2DEC(MID(F94,4,1)),VC!A1:B16)</f>
        <v>3</v>
      </c>
      <c r="P94" s="16">
        <f>LOOKUP(HEX2DEC(MID(F94,4,1)),VC!A1:D16)</f>
        <v>10</v>
      </c>
    </row>
    <row r="95" spans="2:16" ht="15" customHeight="1" x14ac:dyDescent="0.25">
      <c r="B95" s="15">
        <f t="shared" si="8"/>
        <v>36</v>
      </c>
      <c r="C95" s="15" t="str">
        <f t="shared" si="9"/>
        <v>1</v>
      </c>
      <c r="D95" s="15" t="str">
        <f t="shared" si="10"/>
        <v>24</v>
      </c>
      <c r="E95" s="15">
        <f t="shared" si="11"/>
        <v>36</v>
      </c>
      <c r="F95" s="16" t="str">
        <f t="shared" si="12"/>
        <v>0124</v>
      </c>
      <c r="G95" s="16">
        <f t="shared" si="13"/>
        <v>128</v>
      </c>
      <c r="H95" s="17"/>
      <c r="I95" s="18"/>
      <c r="J95" s="17" t="s">
        <v>389</v>
      </c>
      <c r="K95" s="16" t="s">
        <v>468</v>
      </c>
      <c r="L95" s="18"/>
      <c r="M95" s="18"/>
      <c r="N95" s="16">
        <f>LOOKUP(HEX2DEC(MID(F95,4,1)),VC!A1:C16)</f>
        <v>8</v>
      </c>
      <c r="O95" s="16">
        <f>LOOKUP(HEX2DEC(MID(F95,4,1)),VC!A1:B16)</f>
        <v>2</v>
      </c>
      <c r="P95" s="16">
        <f>LOOKUP(HEX2DEC(MID(F95,4,1)),VC!A1:D16)</f>
        <v>14</v>
      </c>
    </row>
    <row r="96" spans="2:16" ht="15" customHeight="1" x14ac:dyDescent="0.25">
      <c r="B96" s="15">
        <f t="shared" si="8"/>
        <v>35</v>
      </c>
      <c r="C96" s="15" t="str">
        <f t="shared" si="9"/>
        <v>1</v>
      </c>
      <c r="D96" s="15" t="str">
        <f t="shared" si="10"/>
        <v>23</v>
      </c>
      <c r="E96" s="15">
        <f t="shared" si="11"/>
        <v>35</v>
      </c>
      <c r="F96" s="16" t="str">
        <f t="shared" si="12"/>
        <v>0123</v>
      </c>
      <c r="G96" s="16">
        <f t="shared" si="13"/>
        <v>128</v>
      </c>
      <c r="H96" s="17"/>
      <c r="I96" s="18"/>
      <c r="J96" s="17" t="s">
        <v>389</v>
      </c>
      <c r="K96" s="16" t="s">
        <v>468</v>
      </c>
      <c r="L96" s="18"/>
      <c r="M96" s="18"/>
      <c r="N96" s="16">
        <f>LOOKUP(HEX2DEC(MID(F96,4,1)),VC!A1:C16)</f>
        <v>9</v>
      </c>
      <c r="O96" s="16">
        <f>LOOKUP(HEX2DEC(MID(F96,4,1)),VC!A1:B16)</f>
        <v>5</v>
      </c>
      <c r="P96" s="16">
        <f>LOOKUP(HEX2DEC(MID(F96,4,1)),VC!A1:D16)</f>
        <v>13</v>
      </c>
    </row>
    <row r="97" spans="2:16" ht="15" customHeight="1" x14ac:dyDescent="0.25">
      <c r="B97" s="15">
        <f t="shared" si="8"/>
        <v>34</v>
      </c>
      <c r="C97" s="15" t="str">
        <f t="shared" si="9"/>
        <v>1</v>
      </c>
      <c r="D97" s="15" t="str">
        <f t="shared" si="10"/>
        <v>22</v>
      </c>
      <c r="E97" s="15">
        <f t="shared" si="11"/>
        <v>34</v>
      </c>
      <c r="F97" s="16" t="str">
        <f t="shared" si="12"/>
        <v>0122</v>
      </c>
      <c r="G97" s="16">
        <f t="shared" si="13"/>
        <v>128</v>
      </c>
      <c r="H97" s="17"/>
      <c r="I97" s="18"/>
      <c r="J97" s="17" t="s">
        <v>389</v>
      </c>
      <c r="K97" s="16" t="s">
        <v>468</v>
      </c>
      <c r="L97" s="18"/>
      <c r="M97" s="18"/>
      <c r="N97" s="16">
        <f>LOOKUP(HEX2DEC(MID(F97,4,1)),VC!A1:C16)</f>
        <v>8</v>
      </c>
      <c r="O97" s="16">
        <f>LOOKUP(HEX2DEC(MID(F97,4,1)),VC!A1:B16)</f>
        <v>4</v>
      </c>
      <c r="P97" s="16">
        <f>LOOKUP(HEX2DEC(MID(F97,4,1)),VC!A1:D16)</f>
        <v>12</v>
      </c>
    </row>
    <row r="98" spans="2:16" ht="15" customHeight="1" x14ac:dyDescent="0.25">
      <c r="B98" s="15">
        <f t="shared" si="8"/>
        <v>33</v>
      </c>
      <c r="C98" s="15" t="str">
        <f t="shared" si="9"/>
        <v>1</v>
      </c>
      <c r="D98" s="15" t="str">
        <f t="shared" si="10"/>
        <v>21</v>
      </c>
      <c r="E98" s="15">
        <f t="shared" si="11"/>
        <v>33</v>
      </c>
      <c r="F98" s="16" t="str">
        <f t="shared" si="12"/>
        <v>0121</v>
      </c>
      <c r="G98" s="16">
        <f t="shared" si="13"/>
        <v>128</v>
      </c>
      <c r="H98" s="17"/>
      <c r="I98" s="18"/>
      <c r="J98" s="17" t="s">
        <v>389</v>
      </c>
      <c r="K98" s="16" t="s">
        <v>468</v>
      </c>
      <c r="L98" s="18"/>
      <c r="M98" s="18"/>
      <c r="N98" s="16">
        <f>LOOKUP(HEX2DEC(MID(F98,4,1)),VC!A1:C16)</f>
        <v>9</v>
      </c>
      <c r="O98" s="16">
        <f>LOOKUP(HEX2DEC(MID(F98,4,1)),VC!A1:B16)</f>
        <v>3</v>
      </c>
      <c r="P98" s="16">
        <f>LOOKUP(HEX2DEC(MID(F98,4,1)),VC!A1:D16)</f>
        <v>11</v>
      </c>
    </row>
    <row r="99" spans="2:16" ht="15" customHeight="1" x14ac:dyDescent="0.25">
      <c r="B99" s="15">
        <f t="shared" si="8"/>
        <v>32</v>
      </c>
      <c r="C99" s="15" t="str">
        <f t="shared" si="9"/>
        <v>1</v>
      </c>
      <c r="D99" s="15" t="str">
        <f t="shared" si="10"/>
        <v>20</v>
      </c>
      <c r="E99" s="15">
        <f t="shared" si="11"/>
        <v>32</v>
      </c>
      <c r="F99" s="16" t="str">
        <f t="shared" si="12"/>
        <v>0120</v>
      </c>
      <c r="G99" s="16">
        <f t="shared" si="13"/>
        <v>128</v>
      </c>
      <c r="H99" s="17"/>
      <c r="I99" s="18"/>
      <c r="J99" s="17" t="s">
        <v>389</v>
      </c>
      <c r="K99" s="16" t="s">
        <v>468</v>
      </c>
      <c r="L99" s="18"/>
      <c r="M99" s="18"/>
      <c r="N99" s="16">
        <f>LOOKUP(HEX2DEC(MID(F99,4,1)),VC!A1:C16)</f>
        <v>8</v>
      </c>
      <c r="O99" s="16">
        <f>LOOKUP(HEX2DEC(MID(F99,4,1)),VC!A1:B16)</f>
        <v>2</v>
      </c>
      <c r="P99" s="16">
        <f>LOOKUP(HEX2DEC(MID(F99,4,1)),VC!A1:D16)</f>
        <v>10</v>
      </c>
    </row>
    <row r="100" spans="2:16" ht="15" customHeight="1" x14ac:dyDescent="0.25">
      <c r="B100" s="15">
        <f t="shared" si="8"/>
        <v>31</v>
      </c>
      <c r="C100" s="15" t="str">
        <f t="shared" ref="C100:C130" si="14">C101</f>
        <v>1</v>
      </c>
      <c r="D100" s="15" t="str">
        <f t="shared" si="10"/>
        <v>1F</v>
      </c>
      <c r="E100" s="15">
        <f t="shared" ref="E100:E131" si="15">B100</f>
        <v>31</v>
      </c>
      <c r="F100" s="16" t="str">
        <f t="shared" ref="F100:F131" si="16">IF(HEX2DEC(D100)&gt;15,IF(HEX2DEC(C100) &gt; 15,CONCATENATE(C100,D100),CONCATENATE("0",C100,D100)),IF(HEX2DEC(C100) &gt; 15,CONCATENATE(C100,"0",D100),CONCATENATE("0",C100,"0",D100)))</f>
        <v>011F</v>
      </c>
      <c r="G100" s="16">
        <f t="shared" si="13"/>
        <v>128</v>
      </c>
      <c r="H100" s="17"/>
      <c r="I100" s="18"/>
      <c r="J100" s="17" t="s">
        <v>389</v>
      </c>
      <c r="K100" s="16" t="s">
        <v>468</v>
      </c>
      <c r="L100" s="18"/>
      <c r="M100" s="18"/>
      <c r="N100" s="16">
        <f>LOOKUP(HEX2DEC(MID(F100,4,1)),VC!A1:C16)</f>
        <v>9</v>
      </c>
      <c r="O100" s="16">
        <f>LOOKUP(HEX2DEC(MID(F100,4,1)),VC!A1:B16)</f>
        <v>5</v>
      </c>
      <c r="P100" s="16">
        <f>LOOKUP(HEX2DEC(MID(F100,4,1)),VC!A1:D16)</f>
        <v>10</v>
      </c>
    </row>
    <row r="101" spans="2:16" ht="15" customHeight="1" x14ac:dyDescent="0.25">
      <c r="B101" s="15">
        <f t="shared" si="8"/>
        <v>30</v>
      </c>
      <c r="C101" s="15" t="str">
        <f t="shared" si="14"/>
        <v>1</v>
      </c>
      <c r="D101" s="15" t="str">
        <f t="shared" si="10"/>
        <v>1E</v>
      </c>
      <c r="E101" s="15">
        <f t="shared" si="15"/>
        <v>30</v>
      </c>
      <c r="F101" s="16" t="str">
        <f t="shared" si="16"/>
        <v>011E</v>
      </c>
      <c r="G101" s="16">
        <f t="shared" si="13"/>
        <v>128</v>
      </c>
      <c r="H101" s="17"/>
      <c r="I101" s="18"/>
      <c r="J101" s="17" t="s">
        <v>389</v>
      </c>
      <c r="K101" s="16" t="s">
        <v>468</v>
      </c>
      <c r="L101" s="18"/>
      <c r="M101" s="18"/>
      <c r="N101" s="16">
        <f>LOOKUP(HEX2DEC(MID(F101,4,1)),VC!A1:C16)</f>
        <v>8</v>
      </c>
      <c r="O101" s="16">
        <f>LOOKUP(HEX2DEC(MID(F101,4,1)),VC!A1:B16)</f>
        <v>4</v>
      </c>
      <c r="P101" s="16">
        <f>LOOKUP(HEX2DEC(MID(F101,4,1)),VC!A1:D16)</f>
        <v>14</v>
      </c>
    </row>
    <row r="102" spans="2:16" ht="15" customHeight="1" x14ac:dyDescent="0.25">
      <c r="B102" s="15">
        <f t="shared" si="8"/>
        <v>29</v>
      </c>
      <c r="C102" s="15" t="str">
        <f t="shared" si="14"/>
        <v>1</v>
      </c>
      <c r="D102" s="15" t="str">
        <f t="shared" si="10"/>
        <v>1D</v>
      </c>
      <c r="E102" s="15">
        <f t="shared" si="15"/>
        <v>29</v>
      </c>
      <c r="F102" s="16" t="str">
        <f t="shared" si="16"/>
        <v>011D</v>
      </c>
      <c r="G102" s="16">
        <f t="shared" si="13"/>
        <v>128</v>
      </c>
      <c r="H102" s="17"/>
      <c r="I102" s="18"/>
      <c r="J102" s="17" t="s">
        <v>389</v>
      </c>
      <c r="K102" s="16" t="s">
        <v>468</v>
      </c>
      <c r="L102" s="18"/>
      <c r="M102" s="18"/>
      <c r="N102" s="16">
        <f>LOOKUP(HEX2DEC(MID(F102,4,1)),VC!A1:C16)</f>
        <v>9</v>
      </c>
      <c r="O102" s="16">
        <f>LOOKUP(HEX2DEC(MID(F102,4,1)),VC!A1:B16)</f>
        <v>3</v>
      </c>
      <c r="P102" s="16">
        <f>LOOKUP(HEX2DEC(MID(F102,4,1)),VC!A1:D16)</f>
        <v>13</v>
      </c>
    </row>
    <row r="103" spans="2:16" ht="15" customHeight="1" x14ac:dyDescent="0.25">
      <c r="B103" s="15">
        <f t="shared" si="8"/>
        <v>28</v>
      </c>
      <c r="C103" s="15" t="str">
        <f t="shared" si="14"/>
        <v>1</v>
      </c>
      <c r="D103" s="15" t="str">
        <f t="shared" si="10"/>
        <v>1C</v>
      </c>
      <c r="E103" s="15">
        <f t="shared" si="15"/>
        <v>28</v>
      </c>
      <c r="F103" s="16" t="str">
        <f t="shared" si="16"/>
        <v>011C</v>
      </c>
      <c r="G103" s="16">
        <f t="shared" si="13"/>
        <v>128</v>
      </c>
      <c r="H103" s="17"/>
      <c r="I103" s="18"/>
      <c r="J103" s="17" t="s">
        <v>389</v>
      </c>
      <c r="K103" s="16" t="s">
        <v>468</v>
      </c>
      <c r="L103" s="18"/>
      <c r="M103" s="18"/>
      <c r="N103" s="16">
        <f>LOOKUP(HEX2DEC(MID(F103,4,1)),VC!A1:C16)</f>
        <v>8</v>
      </c>
      <c r="O103" s="16">
        <f>LOOKUP(HEX2DEC(MID(F103,4,1)),VC!A1:B16)</f>
        <v>2</v>
      </c>
      <c r="P103" s="16">
        <f>LOOKUP(HEX2DEC(MID(F103,4,1)),VC!A1:D16)</f>
        <v>12</v>
      </c>
    </row>
    <row r="104" spans="2:16" ht="15" customHeight="1" x14ac:dyDescent="0.25">
      <c r="B104" s="15">
        <f t="shared" si="8"/>
        <v>27</v>
      </c>
      <c r="C104" s="15" t="str">
        <f t="shared" si="14"/>
        <v>1</v>
      </c>
      <c r="D104" s="15" t="str">
        <f t="shared" si="10"/>
        <v>1B</v>
      </c>
      <c r="E104" s="15">
        <f t="shared" si="15"/>
        <v>27</v>
      </c>
      <c r="F104" s="16" t="str">
        <f t="shared" si="16"/>
        <v>011B</v>
      </c>
      <c r="G104" s="16">
        <f t="shared" si="13"/>
        <v>128</v>
      </c>
      <c r="H104" s="17"/>
      <c r="I104" s="18"/>
      <c r="J104" s="17" t="s">
        <v>389</v>
      </c>
      <c r="K104" s="16" t="s">
        <v>468</v>
      </c>
      <c r="L104" s="18"/>
      <c r="M104" s="18"/>
      <c r="N104" s="16">
        <f>LOOKUP(HEX2DEC(MID(F104,4,1)),VC!A1:C16)</f>
        <v>9</v>
      </c>
      <c r="O104" s="16">
        <f>LOOKUP(HEX2DEC(MID(F104,4,1)),VC!A1:B16)</f>
        <v>5</v>
      </c>
      <c r="P104" s="16">
        <f>LOOKUP(HEX2DEC(MID(F104,4,1)),VC!A1:D16)</f>
        <v>11</v>
      </c>
    </row>
    <row r="105" spans="2:16" ht="15" customHeight="1" x14ac:dyDescent="0.25">
      <c r="B105" s="15">
        <f t="shared" si="8"/>
        <v>26</v>
      </c>
      <c r="C105" s="15" t="str">
        <f t="shared" si="14"/>
        <v>1</v>
      </c>
      <c r="D105" s="15" t="str">
        <f t="shared" si="10"/>
        <v>1A</v>
      </c>
      <c r="E105" s="15">
        <f t="shared" si="15"/>
        <v>26</v>
      </c>
      <c r="F105" s="16" t="str">
        <f t="shared" si="16"/>
        <v>011A</v>
      </c>
      <c r="G105" s="16">
        <f t="shared" si="13"/>
        <v>128</v>
      </c>
      <c r="H105" s="17"/>
      <c r="I105" s="18"/>
      <c r="J105" s="17" t="s">
        <v>389</v>
      </c>
      <c r="K105" s="16" t="s">
        <v>468</v>
      </c>
      <c r="L105" s="18"/>
      <c r="M105" s="18"/>
      <c r="N105" s="16">
        <f>LOOKUP(HEX2DEC(MID(F105,4,1)),VC!A1:C16)</f>
        <v>8</v>
      </c>
      <c r="O105" s="16">
        <f>LOOKUP(HEX2DEC(MID(F105,4,1)),VC!A1:B16)</f>
        <v>4</v>
      </c>
      <c r="P105" s="16">
        <f>LOOKUP(HEX2DEC(MID(F105,4,1)),VC!A1:D16)</f>
        <v>10</v>
      </c>
    </row>
    <row r="106" spans="2:16" ht="15" customHeight="1" x14ac:dyDescent="0.25">
      <c r="B106" s="15">
        <f t="shared" si="8"/>
        <v>25</v>
      </c>
      <c r="C106" s="15" t="str">
        <f t="shared" si="14"/>
        <v>1</v>
      </c>
      <c r="D106" s="15" t="str">
        <f t="shared" si="10"/>
        <v>19</v>
      </c>
      <c r="E106" s="15">
        <f t="shared" si="15"/>
        <v>25</v>
      </c>
      <c r="F106" s="16" t="str">
        <f t="shared" si="16"/>
        <v>0119</v>
      </c>
      <c r="G106" s="16">
        <f t="shared" si="13"/>
        <v>128</v>
      </c>
      <c r="H106" s="17"/>
      <c r="I106" s="18"/>
      <c r="J106" s="17" t="s">
        <v>389</v>
      </c>
      <c r="K106" s="16" t="s">
        <v>468</v>
      </c>
      <c r="L106" s="18"/>
      <c r="M106" s="18"/>
      <c r="N106" s="16">
        <f>LOOKUP(HEX2DEC(MID(F106,4,1)),VC!A1:C16)</f>
        <v>9</v>
      </c>
      <c r="O106" s="16">
        <f>LOOKUP(HEX2DEC(MID(F106,4,1)),VC!A1:B16)</f>
        <v>3</v>
      </c>
      <c r="P106" s="16">
        <f>LOOKUP(HEX2DEC(MID(F106,4,1)),VC!A1:D16)</f>
        <v>14</v>
      </c>
    </row>
    <row r="107" spans="2:16" ht="15" customHeight="1" x14ac:dyDescent="0.25">
      <c r="B107" s="15">
        <f t="shared" si="8"/>
        <v>24</v>
      </c>
      <c r="C107" s="15" t="str">
        <f t="shared" si="14"/>
        <v>1</v>
      </c>
      <c r="D107" s="15" t="str">
        <f t="shared" si="10"/>
        <v>18</v>
      </c>
      <c r="E107" s="15">
        <f t="shared" si="15"/>
        <v>24</v>
      </c>
      <c r="F107" s="16" t="str">
        <f t="shared" si="16"/>
        <v>0118</v>
      </c>
      <c r="G107" s="16">
        <f t="shared" si="13"/>
        <v>128</v>
      </c>
      <c r="H107" s="17"/>
      <c r="I107" s="18"/>
      <c r="J107" s="17" t="s">
        <v>389</v>
      </c>
      <c r="K107" s="16" t="s">
        <v>468</v>
      </c>
      <c r="L107" s="18"/>
      <c r="M107" s="18"/>
      <c r="N107" s="16">
        <f>LOOKUP(HEX2DEC(MID(F107,4,1)),VC!A1:C16)</f>
        <v>8</v>
      </c>
      <c r="O107" s="16">
        <f>LOOKUP(HEX2DEC(MID(F107,4,1)),VC!A1:B16)</f>
        <v>2</v>
      </c>
      <c r="P107" s="16">
        <f>LOOKUP(HEX2DEC(MID(F107,4,1)),VC!A1:D16)</f>
        <v>13</v>
      </c>
    </row>
    <row r="108" spans="2:16" ht="15" customHeight="1" x14ac:dyDescent="0.25">
      <c r="B108" s="15">
        <f t="shared" si="8"/>
        <v>23</v>
      </c>
      <c r="C108" s="15" t="str">
        <f t="shared" si="14"/>
        <v>1</v>
      </c>
      <c r="D108" s="15" t="str">
        <f t="shared" si="10"/>
        <v>17</v>
      </c>
      <c r="E108" s="15">
        <f t="shared" si="15"/>
        <v>23</v>
      </c>
      <c r="F108" s="16" t="str">
        <f t="shared" si="16"/>
        <v>0117</v>
      </c>
      <c r="G108" s="16">
        <f t="shared" si="13"/>
        <v>128</v>
      </c>
      <c r="H108" s="17"/>
      <c r="I108" s="18"/>
      <c r="J108" s="17" t="s">
        <v>389</v>
      </c>
      <c r="K108" s="16" t="s">
        <v>468</v>
      </c>
      <c r="L108" s="18"/>
      <c r="M108" s="18"/>
      <c r="N108" s="16">
        <f>LOOKUP(HEX2DEC(MID(F108,4,1)),VC!A1:C16)</f>
        <v>9</v>
      </c>
      <c r="O108" s="16">
        <f>LOOKUP(HEX2DEC(MID(F108,4,1)),VC!A1:B16)</f>
        <v>5</v>
      </c>
      <c r="P108" s="16">
        <f>LOOKUP(HEX2DEC(MID(F108,4,1)),VC!A1:D16)</f>
        <v>12</v>
      </c>
    </row>
    <row r="109" spans="2:16" ht="15" customHeight="1" x14ac:dyDescent="0.25">
      <c r="B109" s="15">
        <f t="shared" si="8"/>
        <v>22</v>
      </c>
      <c r="C109" s="15" t="str">
        <f>SUBSTITUTE(SUBSTITUTE(Switch_128!B5,"0x0",""),"0x","")</f>
        <v>1</v>
      </c>
      <c r="D109" s="15" t="str">
        <f t="shared" si="10"/>
        <v>16</v>
      </c>
      <c r="E109" s="15">
        <f t="shared" si="15"/>
        <v>22</v>
      </c>
      <c r="F109" s="16" t="str">
        <f t="shared" si="16"/>
        <v>0116</v>
      </c>
      <c r="G109" s="16">
        <f>Switch_128!B3</f>
        <v>128</v>
      </c>
      <c r="H109" s="17"/>
      <c r="I109" s="18"/>
      <c r="J109" s="17" t="s">
        <v>389</v>
      </c>
      <c r="K109" s="16" t="s">
        <v>468</v>
      </c>
      <c r="L109" s="18"/>
      <c r="M109" s="18"/>
      <c r="N109" s="16">
        <f>LOOKUP(HEX2DEC(MID(F109,4,1)),VC!A1:C16)</f>
        <v>8</v>
      </c>
      <c r="O109" s="16">
        <f>LOOKUP(HEX2DEC(MID(F109,4,1)),VC!A1:B16)</f>
        <v>4</v>
      </c>
      <c r="P109" s="16">
        <f>LOOKUP(HEX2DEC(MID(F109,4,1)),VC!A1:D16)</f>
        <v>11</v>
      </c>
    </row>
    <row r="110" spans="2:16" x14ac:dyDescent="0.25">
      <c r="B110" s="15">
        <f t="shared" si="8"/>
        <v>21</v>
      </c>
      <c r="C110" s="15" t="str">
        <f t="shared" si="14"/>
        <v>2F</v>
      </c>
      <c r="D110" s="15" t="str">
        <f t="shared" si="10"/>
        <v>15</v>
      </c>
      <c r="E110" s="15">
        <f t="shared" si="15"/>
        <v>21</v>
      </c>
      <c r="F110" s="16" t="str">
        <f t="shared" si="16"/>
        <v>2F15</v>
      </c>
      <c r="G110" s="16">
        <f t="shared" si="13"/>
        <v>20</v>
      </c>
      <c r="H110" s="17"/>
      <c r="I110" s="18"/>
      <c r="J110" s="17" t="s">
        <v>321</v>
      </c>
      <c r="K110" s="16" t="s">
        <v>363</v>
      </c>
      <c r="L110" s="18"/>
      <c r="M110" s="18" t="str">
        <f t="shared" ref="M110:M120" si="17">CONCATENATE("FICON Switch Port ",E110)</f>
        <v>FICON Switch Port 21</v>
      </c>
      <c r="N110" s="16">
        <f>LOOKUP(HEX2DEC(MID(F110,4,1)),VC!A1:C16)</f>
        <v>9</v>
      </c>
      <c r="O110" s="16">
        <f>LOOKUP(HEX2DEC(MID(F110,4,1)),VC!A1:B16)</f>
        <v>3</v>
      </c>
      <c r="P110" s="16">
        <f>LOOKUP(HEX2DEC(MID(F110,4,1)),VC!A1:D16)</f>
        <v>10</v>
      </c>
    </row>
    <row r="111" spans="2:16" x14ac:dyDescent="0.25">
      <c r="B111" s="15">
        <f t="shared" si="8"/>
        <v>20</v>
      </c>
      <c r="C111" s="15" t="str">
        <f t="shared" si="14"/>
        <v>2F</v>
      </c>
      <c r="D111" s="15" t="str">
        <f t="shared" si="10"/>
        <v>14</v>
      </c>
      <c r="E111" s="15">
        <f t="shared" si="15"/>
        <v>20</v>
      </c>
      <c r="F111" s="16" t="str">
        <f t="shared" si="16"/>
        <v>2F14</v>
      </c>
      <c r="G111" s="16">
        <f t="shared" si="13"/>
        <v>20</v>
      </c>
      <c r="H111" s="17"/>
      <c r="I111" s="18"/>
      <c r="J111" s="17" t="s">
        <v>321</v>
      </c>
      <c r="K111" s="16" t="s">
        <v>363</v>
      </c>
      <c r="L111" s="18"/>
      <c r="M111" s="18" t="str">
        <f t="shared" si="17"/>
        <v>FICON Switch Port 20</v>
      </c>
      <c r="N111" s="16">
        <f>LOOKUP(HEX2DEC(MID(F111,4,1)),VC!A1:C16)</f>
        <v>8</v>
      </c>
      <c r="O111" s="16">
        <f>LOOKUP(HEX2DEC(MID(F111,4,1)),VC!A1:B16)</f>
        <v>2</v>
      </c>
      <c r="P111" s="16">
        <f>LOOKUP(HEX2DEC(MID(F111,4,1)),VC!A1:D16)</f>
        <v>14</v>
      </c>
    </row>
    <row r="112" spans="2:16" x14ac:dyDescent="0.25">
      <c r="B112" s="15">
        <f t="shared" si="8"/>
        <v>19</v>
      </c>
      <c r="C112" s="15" t="str">
        <f t="shared" si="14"/>
        <v>2F</v>
      </c>
      <c r="D112" s="15" t="str">
        <f t="shared" si="10"/>
        <v>13</v>
      </c>
      <c r="E112" s="15">
        <f t="shared" si="15"/>
        <v>19</v>
      </c>
      <c r="F112" s="16" t="str">
        <f t="shared" si="16"/>
        <v>2F13</v>
      </c>
      <c r="G112" s="16">
        <f t="shared" si="13"/>
        <v>20</v>
      </c>
      <c r="H112" s="17"/>
      <c r="I112" s="18"/>
      <c r="J112" s="17" t="s">
        <v>321</v>
      </c>
      <c r="K112" s="16" t="s">
        <v>363</v>
      </c>
      <c r="L112" s="18"/>
      <c r="M112" s="18" t="str">
        <f t="shared" si="17"/>
        <v>FICON Switch Port 19</v>
      </c>
      <c r="N112" s="16">
        <f>LOOKUP(HEX2DEC(MID(F112,4,1)),VC!A1:C16)</f>
        <v>9</v>
      </c>
      <c r="O112" s="16">
        <f>LOOKUP(HEX2DEC(MID(F112,4,1)),VC!A1:B16)</f>
        <v>5</v>
      </c>
      <c r="P112" s="16">
        <f>LOOKUP(HEX2DEC(MID(F112,4,1)),VC!A1:D16)</f>
        <v>13</v>
      </c>
    </row>
    <row r="113" spans="2:16" x14ac:dyDescent="0.25">
      <c r="B113" s="15">
        <f t="shared" si="8"/>
        <v>18</v>
      </c>
      <c r="C113" s="15" t="str">
        <f t="shared" si="14"/>
        <v>2F</v>
      </c>
      <c r="D113" s="15" t="str">
        <f t="shared" si="10"/>
        <v>12</v>
      </c>
      <c r="E113" s="15">
        <f t="shared" si="15"/>
        <v>18</v>
      </c>
      <c r="F113" s="16" t="str">
        <f t="shared" si="16"/>
        <v>2F12</v>
      </c>
      <c r="G113" s="16">
        <f t="shared" si="13"/>
        <v>20</v>
      </c>
      <c r="H113" s="17"/>
      <c r="I113" s="18"/>
      <c r="J113" s="17" t="s">
        <v>321</v>
      </c>
      <c r="K113" s="16" t="s">
        <v>363</v>
      </c>
      <c r="L113" s="18"/>
      <c r="M113" s="18" t="str">
        <f t="shared" si="17"/>
        <v>FICON Switch Port 18</v>
      </c>
      <c r="N113" s="16">
        <f>LOOKUP(HEX2DEC(MID(F113,4,1)),VC!A1:C16)</f>
        <v>8</v>
      </c>
      <c r="O113" s="16">
        <f>LOOKUP(HEX2DEC(MID(F113,4,1)),VC!A1:B16)</f>
        <v>4</v>
      </c>
      <c r="P113" s="16">
        <f>LOOKUP(HEX2DEC(MID(F113,4,1)),VC!A1:D16)</f>
        <v>12</v>
      </c>
    </row>
    <row r="114" spans="2:16" x14ac:dyDescent="0.25">
      <c r="B114" s="15">
        <f t="shared" si="8"/>
        <v>17</v>
      </c>
      <c r="C114" s="15" t="str">
        <f t="shared" si="14"/>
        <v>2F</v>
      </c>
      <c r="D114" s="15" t="str">
        <f t="shared" si="10"/>
        <v>11</v>
      </c>
      <c r="E114" s="15">
        <f t="shared" si="15"/>
        <v>17</v>
      </c>
      <c r="F114" s="16" t="str">
        <f t="shared" si="16"/>
        <v>2F11</v>
      </c>
      <c r="G114" s="16">
        <f t="shared" si="13"/>
        <v>20</v>
      </c>
      <c r="H114" s="17"/>
      <c r="I114" s="18"/>
      <c r="J114" s="17" t="s">
        <v>321</v>
      </c>
      <c r="K114" s="16" t="s">
        <v>363</v>
      </c>
      <c r="L114" s="18"/>
      <c r="M114" s="18" t="str">
        <f t="shared" si="17"/>
        <v>FICON Switch Port 17</v>
      </c>
      <c r="N114" s="16">
        <f>LOOKUP(HEX2DEC(MID(F114,4,1)),VC!A1:C16)</f>
        <v>9</v>
      </c>
      <c r="O114" s="16">
        <f>LOOKUP(HEX2DEC(MID(F114,4,1)),VC!A1:B16)</f>
        <v>3</v>
      </c>
      <c r="P114" s="16">
        <f>LOOKUP(HEX2DEC(MID(F114,4,1)),VC!A1:D16)</f>
        <v>11</v>
      </c>
    </row>
    <row r="115" spans="2:16" x14ac:dyDescent="0.25">
      <c r="B115" s="15">
        <f t="shared" si="8"/>
        <v>16</v>
      </c>
      <c r="C115" s="15" t="str">
        <f t="shared" si="14"/>
        <v>2F</v>
      </c>
      <c r="D115" s="15" t="str">
        <f t="shared" si="10"/>
        <v>10</v>
      </c>
      <c r="E115" s="15">
        <f t="shared" si="15"/>
        <v>16</v>
      </c>
      <c r="F115" s="16" t="str">
        <f t="shared" si="16"/>
        <v>2F10</v>
      </c>
      <c r="G115" s="16">
        <f t="shared" si="13"/>
        <v>20</v>
      </c>
      <c r="H115" s="17"/>
      <c r="I115" s="18"/>
      <c r="J115" s="17" t="s">
        <v>321</v>
      </c>
      <c r="K115" s="16" t="s">
        <v>363</v>
      </c>
      <c r="L115" s="18"/>
      <c r="M115" s="18" t="str">
        <f t="shared" si="17"/>
        <v>FICON Switch Port 16</v>
      </c>
      <c r="N115" s="16">
        <f>LOOKUP(HEX2DEC(MID(F115,4,1)),VC!A1:C16)</f>
        <v>8</v>
      </c>
      <c r="O115" s="16">
        <f>LOOKUP(HEX2DEC(MID(F115,4,1)),VC!A1:B16)</f>
        <v>2</v>
      </c>
      <c r="P115" s="16">
        <f>LOOKUP(HEX2DEC(MID(F115,4,1)),VC!A1:D16)</f>
        <v>10</v>
      </c>
    </row>
    <row r="116" spans="2:16" x14ac:dyDescent="0.25">
      <c r="B116" s="15">
        <f t="shared" si="8"/>
        <v>15</v>
      </c>
      <c r="C116" s="15" t="str">
        <f t="shared" si="14"/>
        <v>2F</v>
      </c>
      <c r="D116" s="15" t="str">
        <f t="shared" si="10"/>
        <v>F</v>
      </c>
      <c r="E116" s="15">
        <f t="shared" si="15"/>
        <v>15</v>
      </c>
      <c r="F116" s="16" t="str">
        <f t="shared" si="16"/>
        <v>2F0F</v>
      </c>
      <c r="G116" s="16">
        <f t="shared" si="13"/>
        <v>20</v>
      </c>
      <c r="H116" s="17"/>
      <c r="I116" s="18"/>
      <c r="J116" s="17" t="s">
        <v>321</v>
      </c>
      <c r="K116" s="16" t="s">
        <v>363</v>
      </c>
      <c r="L116" s="18"/>
      <c r="M116" s="18" t="str">
        <f t="shared" si="17"/>
        <v>FICON Switch Port 15</v>
      </c>
      <c r="N116" s="16">
        <f>LOOKUP(HEX2DEC(MID(F116,4,1)),VC!A1:C16)</f>
        <v>9</v>
      </c>
      <c r="O116" s="16">
        <f>LOOKUP(HEX2DEC(MID(F116,4,1)),VC!A1:B16)</f>
        <v>5</v>
      </c>
      <c r="P116" s="16">
        <f>LOOKUP(HEX2DEC(MID(F116,4,1)),VC!A1:D16)</f>
        <v>10</v>
      </c>
    </row>
    <row r="117" spans="2:16" x14ac:dyDescent="0.25">
      <c r="B117" s="15">
        <f t="shared" si="8"/>
        <v>14</v>
      </c>
      <c r="C117" s="15" t="str">
        <f t="shared" si="14"/>
        <v>2F</v>
      </c>
      <c r="D117" s="15" t="str">
        <f t="shared" si="10"/>
        <v>E</v>
      </c>
      <c r="E117" s="15">
        <f t="shared" si="15"/>
        <v>14</v>
      </c>
      <c r="F117" s="16" t="str">
        <f t="shared" si="16"/>
        <v>2F0E</v>
      </c>
      <c r="G117" s="16">
        <f t="shared" si="13"/>
        <v>20</v>
      </c>
      <c r="H117" s="17"/>
      <c r="I117" s="18"/>
      <c r="J117" s="17" t="s">
        <v>321</v>
      </c>
      <c r="K117" s="16" t="s">
        <v>363</v>
      </c>
      <c r="L117" s="18"/>
      <c r="M117" s="18" t="str">
        <f t="shared" si="17"/>
        <v>FICON Switch Port 14</v>
      </c>
      <c r="N117" s="16">
        <f>LOOKUP(HEX2DEC(MID(F117,4,1)),VC!A1:C16)</f>
        <v>8</v>
      </c>
      <c r="O117" s="16">
        <f>LOOKUP(HEX2DEC(MID(F117,4,1)),VC!A1:B16)</f>
        <v>4</v>
      </c>
      <c r="P117" s="16">
        <f>LOOKUP(HEX2DEC(MID(F117,4,1)),VC!A1:D16)</f>
        <v>14</v>
      </c>
    </row>
    <row r="118" spans="2:16" x14ac:dyDescent="0.25">
      <c r="B118" s="15">
        <f t="shared" si="8"/>
        <v>13</v>
      </c>
      <c r="C118" s="15" t="str">
        <f t="shared" si="14"/>
        <v>2F</v>
      </c>
      <c r="D118" s="15" t="str">
        <f t="shared" si="10"/>
        <v>D</v>
      </c>
      <c r="E118" s="15">
        <f t="shared" si="15"/>
        <v>13</v>
      </c>
      <c r="F118" s="16" t="str">
        <f t="shared" si="16"/>
        <v>2F0D</v>
      </c>
      <c r="G118" s="16">
        <f t="shared" si="13"/>
        <v>20</v>
      </c>
      <c r="H118" s="17"/>
      <c r="I118" s="18"/>
      <c r="J118" s="17" t="s">
        <v>321</v>
      </c>
      <c r="K118" s="16" t="s">
        <v>363</v>
      </c>
      <c r="L118" s="18"/>
      <c r="M118" s="18" t="str">
        <f t="shared" si="17"/>
        <v>FICON Switch Port 13</v>
      </c>
      <c r="N118" s="16">
        <f>LOOKUP(HEX2DEC(MID(F118,4,1)),VC!A1:C16)</f>
        <v>9</v>
      </c>
      <c r="O118" s="16">
        <f>LOOKUP(HEX2DEC(MID(F118,4,1)),VC!A1:B16)</f>
        <v>3</v>
      </c>
      <c r="P118" s="16">
        <f>LOOKUP(HEX2DEC(MID(F118,4,1)),VC!A1:D16)</f>
        <v>13</v>
      </c>
    </row>
    <row r="119" spans="2:16" x14ac:dyDescent="0.25">
      <c r="B119" s="15">
        <f t="shared" si="8"/>
        <v>12</v>
      </c>
      <c r="C119" s="15" t="str">
        <f t="shared" si="14"/>
        <v>2F</v>
      </c>
      <c r="D119" s="15" t="str">
        <f t="shared" si="10"/>
        <v>C</v>
      </c>
      <c r="E119" s="15">
        <f t="shared" si="15"/>
        <v>12</v>
      </c>
      <c r="F119" s="16" t="str">
        <f t="shared" si="16"/>
        <v>2F0C</v>
      </c>
      <c r="G119" s="16">
        <f t="shared" si="13"/>
        <v>20</v>
      </c>
      <c r="H119" s="17"/>
      <c r="I119" s="18"/>
      <c r="J119" s="17" t="s">
        <v>321</v>
      </c>
      <c r="K119" s="16" t="s">
        <v>363</v>
      </c>
      <c r="L119" s="18"/>
      <c r="M119" s="18" t="str">
        <f t="shared" si="17"/>
        <v>FICON Switch Port 12</v>
      </c>
      <c r="N119" s="16">
        <f>LOOKUP(HEX2DEC(MID(F119,4,1)),VC!A1:C16)</f>
        <v>8</v>
      </c>
      <c r="O119" s="16">
        <f>LOOKUP(HEX2DEC(MID(F119,4,1)),VC!A1:B16)</f>
        <v>2</v>
      </c>
      <c r="P119" s="16">
        <f>LOOKUP(HEX2DEC(MID(F119,4,1)),VC!A1:D16)</f>
        <v>12</v>
      </c>
    </row>
    <row r="120" spans="2:16" x14ac:dyDescent="0.25">
      <c r="B120" s="15">
        <f t="shared" si="8"/>
        <v>11</v>
      </c>
      <c r="C120" s="15" t="str">
        <f t="shared" si="14"/>
        <v>2F</v>
      </c>
      <c r="D120" s="15" t="str">
        <f t="shared" si="10"/>
        <v>B</v>
      </c>
      <c r="E120" s="15">
        <f t="shared" si="15"/>
        <v>11</v>
      </c>
      <c r="F120" s="16" t="str">
        <f t="shared" si="16"/>
        <v>2F0B</v>
      </c>
      <c r="G120" s="16">
        <f t="shared" si="13"/>
        <v>20</v>
      </c>
      <c r="H120" s="17"/>
      <c r="I120" s="18"/>
      <c r="J120" s="17" t="s">
        <v>321</v>
      </c>
      <c r="K120" s="16" t="s">
        <v>363</v>
      </c>
      <c r="L120" s="18"/>
      <c r="M120" s="18" t="str">
        <f t="shared" si="17"/>
        <v>FICON Switch Port 11</v>
      </c>
      <c r="N120" s="16">
        <f>LOOKUP(HEX2DEC(MID(F120,4,1)),VC!A1:C16)</f>
        <v>9</v>
      </c>
      <c r="O120" s="16">
        <f>LOOKUP(HEX2DEC(MID(F120,4,1)),VC!A1:B16)</f>
        <v>5</v>
      </c>
      <c r="P120" s="16">
        <f>LOOKUP(HEX2DEC(MID(F120,4,1)),VC!A1:D16)</f>
        <v>11</v>
      </c>
    </row>
    <row r="121" spans="2:16" x14ac:dyDescent="0.25">
      <c r="B121" s="15">
        <f t="shared" si="8"/>
        <v>10</v>
      </c>
      <c r="C121" s="15" t="str">
        <f>SUBSTITUTE(SUBSTITUTE(Switch_FICON!B8,"0x0",""),"0x","")</f>
        <v>2F</v>
      </c>
      <c r="D121" s="15" t="str">
        <f t="shared" si="10"/>
        <v>A</v>
      </c>
      <c r="E121" s="15">
        <f t="shared" si="15"/>
        <v>10</v>
      </c>
      <c r="F121" s="16" t="str">
        <f t="shared" si="16"/>
        <v>2F0A</v>
      </c>
      <c r="G121" s="16">
        <f>Switch_FICON!B3</f>
        <v>20</v>
      </c>
      <c r="H121" s="17"/>
      <c r="I121" s="18"/>
      <c r="J121" s="17" t="s">
        <v>321</v>
      </c>
      <c r="K121" s="16" t="s">
        <v>363</v>
      </c>
      <c r="L121" s="18"/>
      <c r="M121" s="18" t="str">
        <f>CONCATENATE("FICON Switch Port ",E121)</f>
        <v>FICON Switch Port 10</v>
      </c>
      <c r="N121" s="16">
        <f>LOOKUP(HEX2DEC(MID(F121,4,1)),VC!A1:C16)</f>
        <v>8</v>
      </c>
      <c r="O121" s="16">
        <f>LOOKUP(HEX2DEC(MID(F121,4,1)),VC!A1:B16)</f>
        <v>4</v>
      </c>
      <c r="P121" s="16">
        <f>LOOKUP(HEX2DEC(MID(F121,4,1)),VC!A1:D16)</f>
        <v>10</v>
      </c>
    </row>
    <row r="122" spans="2:16" x14ac:dyDescent="0.25">
      <c r="B122" s="15">
        <f t="shared" si="8"/>
        <v>9</v>
      </c>
      <c r="C122" s="15" t="str">
        <f t="shared" si="14"/>
        <v>2D</v>
      </c>
      <c r="D122" s="15" t="str">
        <f t="shared" si="10"/>
        <v>9</v>
      </c>
      <c r="E122" s="15">
        <f t="shared" si="15"/>
        <v>9</v>
      </c>
      <c r="F122" s="16" t="str">
        <f t="shared" si="16"/>
        <v>2D09</v>
      </c>
      <c r="G122" s="16">
        <f t="shared" si="13"/>
        <v>10</v>
      </c>
      <c r="H122" s="17"/>
      <c r="I122" s="18"/>
      <c r="J122" s="17" t="s">
        <v>321</v>
      </c>
      <c r="K122" s="16" t="s">
        <v>363</v>
      </c>
      <c r="L122" s="18"/>
      <c r="M122" s="18"/>
      <c r="N122" s="16">
        <f>LOOKUP(HEX2DEC(MID(F122,4,1)),VC!A1:C16)</f>
        <v>9</v>
      </c>
      <c r="O122" s="16">
        <f>LOOKUP(HEX2DEC(MID(F122,4,1)),VC!A1:B16)</f>
        <v>3</v>
      </c>
      <c r="P122" s="16">
        <f>LOOKUP(HEX2DEC(MID(F122,4,1)),VC!A1:D16)</f>
        <v>14</v>
      </c>
    </row>
    <row r="123" spans="2:16" x14ac:dyDescent="0.25">
      <c r="B123" s="15">
        <f t="shared" si="8"/>
        <v>8</v>
      </c>
      <c r="C123" s="15" t="str">
        <f t="shared" si="14"/>
        <v>2D</v>
      </c>
      <c r="D123" s="15" t="str">
        <f t="shared" si="10"/>
        <v>8</v>
      </c>
      <c r="E123" s="15">
        <f t="shared" si="15"/>
        <v>8</v>
      </c>
      <c r="F123" s="16" t="str">
        <f t="shared" si="16"/>
        <v>2D08</v>
      </c>
      <c r="G123" s="16">
        <f t="shared" si="13"/>
        <v>10</v>
      </c>
      <c r="H123" s="17"/>
      <c r="I123" s="18"/>
      <c r="J123" s="17" t="s">
        <v>321</v>
      </c>
      <c r="K123" s="16" t="s">
        <v>363</v>
      </c>
      <c r="L123" s="18"/>
      <c r="M123" s="18"/>
      <c r="N123" s="16">
        <f>LOOKUP(HEX2DEC(MID(F123,4,1)),VC!A1:C16)</f>
        <v>8</v>
      </c>
      <c r="O123" s="16">
        <f>LOOKUP(HEX2DEC(MID(F123,4,1)),VC!A1:B16)</f>
        <v>2</v>
      </c>
      <c r="P123" s="16">
        <f>LOOKUP(HEX2DEC(MID(F123,4,1)),VC!A1:D16)</f>
        <v>13</v>
      </c>
    </row>
    <row r="124" spans="2:16" x14ac:dyDescent="0.25">
      <c r="B124" s="15">
        <f t="shared" si="8"/>
        <v>7</v>
      </c>
      <c r="C124" s="15" t="str">
        <f t="shared" si="14"/>
        <v>2D</v>
      </c>
      <c r="D124" s="15" t="str">
        <f t="shared" si="10"/>
        <v>7</v>
      </c>
      <c r="E124" s="15">
        <f t="shared" si="15"/>
        <v>7</v>
      </c>
      <c r="F124" s="16" t="str">
        <f t="shared" si="16"/>
        <v>2D07</v>
      </c>
      <c r="G124" s="16">
        <f t="shared" si="13"/>
        <v>10</v>
      </c>
      <c r="H124" s="17"/>
      <c r="I124" s="18"/>
      <c r="J124" s="17" t="s">
        <v>321</v>
      </c>
      <c r="K124" s="16" t="s">
        <v>363</v>
      </c>
      <c r="L124" s="18"/>
      <c r="M124" s="18"/>
      <c r="N124" s="16">
        <f>LOOKUP(HEX2DEC(MID(F124,4,1)),VC!A1:C16)</f>
        <v>9</v>
      </c>
      <c r="O124" s="16">
        <f>LOOKUP(HEX2DEC(MID(F124,4,1)),VC!A1:B16)</f>
        <v>5</v>
      </c>
      <c r="P124" s="16">
        <f>LOOKUP(HEX2DEC(MID(F124,4,1)),VC!A1:D16)</f>
        <v>12</v>
      </c>
    </row>
    <row r="125" spans="2:16" x14ac:dyDescent="0.25">
      <c r="B125" s="15">
        <f t="shared" si="8"/>
        <v>6</v>
      </c>
      <c r="C125" s="15" t="str">
        <f t="shared" si="14"/>
        <v>2D</v>
      </c>
      <c r="D125" s="15" t="str">
        <f t="shared" si="10"/>
        <v>6</v>
      </c>
      <c r="E125" s="15">
        <f t="shared" si="15"/>
        <v>6</v>
      </c>
      <c r="F125" s="16" t="str">
        <f t="shared" si="16"/>
        <v>2D06</v>
      </c>
      <c r="G125" s="16">
        <f t="shared" si="13"/>
        <v>10</v>
      </c>
      <c r="H125" s="17"/>
      <c r="I125" s="18"/>
      <c r="J125" s="17" t="s">
        <v>321</v>
      </c>
      <c r="K125" s="16" t="s">
        <v>363</v>
      </c>
      <c r="L125" s="18"/>
      <c r="M125" s="18"/>
      <c r="N125" s="16">
        <f>LOOKUP(HEX2DEC(MID(F125,4,1)),VC!A1:C16)</f>
        <v>8</v>
      </c>
      <c r="O125" s="16">
        <f>LOOKUP(HEX2DEC(MID(F125,4,1)),VC!A1:B16)</f>
        <v>4</v>
      </c>
      <c r="P125" s="16">
        <f>LOOKUP(HEX2DEC(MID(F125,4,1)),VC!A1:D16)</f>
        <v>11</v>
      </c>
    </row>
    <row r="126" spans="2:16" x14ac:dyDescent="0.25">
      <c r="B126" s="15">
        <f t="shared" si="8"/>
        <v>5</v>
      </c>
      <c r="C126" s="15" t="str">
        <f t="shared" si="14"/>
        <v>2D</v>
      </c>
      <c r="D126" s="15" t="str">
        <f t="shared" si="10"/>
        <v>5</v>
      </c>
      <c r="E126" s="15">
        <f t="shared" si="15"/>
        <v>5</v>
      </c>
      <c r="F126" s="16" t="str">
        <f t="shared" si="16"/>
        <v>2D05</v>
      </c>
      <c r="G126" s="16">
        <f t="shared" si="13"/>
        <v>10</v>
      </c>
      <c r="H126" s="17"/>
      <c r="I126" s="18"/>
      <c r="J126" s="17" t="s">
        <v>321</v>
      </c>
      <c r="K126" s="16" t="s">
        <v>363</v>
      </c>
      <c r="L126" s="18"/>
      <c r="M126" s="18"/>
      <c r="N126" s="16">
        <f>LOOKUP(HEX2DEC(MID(F126,4,1)),VC!A1:C16)</f>
        <v>9</v>
      </c>
      <c r="O126" s="16">
        <f>LOOKUP(HEX2DEC(MID(F126,4,1)),VC!A1:B16)</f>
        <v>3</v>
      </c>
      <c r="P126" s="16">
        <f>LOOKUP(HEX2DEC(MID(F126,4,1)),VC!A1:D16)</f>
        <v>10</v>
      </c>
    </row>
    <row r="127" spans="2:16" x14ac:dyDescent="0.25">
      <c r="B127" s="15">
        <f t="shared" si="8"/>
        <v>4</v>
      </c>
      <c r="C127" s="15" t="str">
        <f t="shared" si="14"/>
        <v>2D</v>
      </c>
      <c r="D127" s="15" t="str">
        <f t="shared" si="10"/>
        <v>4</v>
      </c>
      <c r="E127" s="15">
        <f t="shared" si="15"/>
        <v>4</v>
      </c>
      <c r="F127" s="16" t="str">
        <f t="shared" si="16"/>
        <v>2D04</v>
      </c>
      <c r="G127" s="16">
        <f t="shared" si="13"/>
        <v>10</v>
      </c>
      <c r="H127" s="17"/>
      <c r="I127" s="18"/>
      <c r="J127" s="17" t="s">
        <v>321</v>
      </c>
      <c r="K127" s="16" t="s">
        <v>363</v>
      </c>
      <c r="L127" s="18"/>
      <c r="M127" s="18"/>
      <c r="N127" s="16">
        <f>LOOKUP(HEX2DEC(MID(F127,4,1)),VC!A1:C16)</f>
        <v>8</v>
      </c>
      <c r="O127" s="16">
        <f>LOOKUP(HEX2DEC(MID(F127,4,1)),VC!A1:B16)</f>
        <v>2</v>
      </c>
      <c r="P127" s="16">
        <f>LOOKUP(HEX2DEC(MID(F127,4,1)),VC!A1:D16)</f>
        <v>14</v>
      </c>
    </row>
    <row r="128" spans="2:16" x14ac:dyDescent="0.25">
      <c r="B128" s="15">
        <f t="shared" si="8"/>
        <v>3</v>
      </c>
      <c r="C128" s="15" t="str">
        <f t="shared" si="14"/>
        <v>2D</v>
      </c>
      <c r="D128" s="15" t="str">
        <f t="shared" si="10"/>
        <v>3</v>
      </c>
      <c r="E128" s="15">
        <f t="shared" si="15"/>
        <v>3</v>
      </c>
      <c r="F128" s="16" t="str">
        <f t="shared" si="16"/>
        <v>2D03</v>
      </c>
      <c r="G128" s="16">
        <f t="shared" si="13"/>
        <v>10</v>
      </c>
      <c r="H128" s="17"/>
      <c r="I128" s="18"/>
      <c r="J128" s="17" t="s">
        <v>321</v>
      </c>
      <c r="K128" s="16" t="s">
        <v>363</v>
      </c>
      <c r="L128" s="18"/>
      <c r="M128" s="18"/>
      <c r="N128" s="16">
        <f>LOOKUP(HEX2DEC(MID(F128,4,1)),VC!A1:C16)</f>
        <v>9</v>
      </c>
      <c r="O128" s="16">
        <f>LOOKUP(HEX2DEC(MID(F128,4,1)),VC!A1:B16)</f>
        <v>5</v>
      </c>
      <c r="P128" s="16">
        <f>LOOKUP(HEX2DEC(MID(F128,4,1)),VC!A1:D16)</f>
        <v>13</v>
      </c>
    </row>
    <row r="129" spans="2:16" x14ac:dyDescent="0.25">
      <c r="B129" s="15">
        <f t="shared" si="8"/>
        <v>2</v>
      </c>
      <c r="C129" s="15" t="str">
        <f>SUBSTITUTE(SUBSTITUTE(Switch_Open!B8,"0x0",""),"0x","")</f>
        <v>2D</v>
      </c>
      <c r="D129" s="15" t="str">
        <f t="shared" si="10"/>
        <v>2</v>
      </c>
      <c r="E129" s="15">
        <f t="shared" si="15"/>
        <v>2</v>
      </c>
      <c r="F129" s="16" t="str">
        <f t="shared" si="16"/>
        <v>2D02</v>
      </c>
      <c r="G129" s="16">
        <f>Switch_Open!B3</f>
        <v>10</v>
      </c>
      <c r="H129" s="17"/>
      <c r="I129" s="18"/>
      <c r="J129" s="17" t="s">
        <v>321</v>
      </c>
      <c r="K129" s="16" t="s">
        <v>363</v>
      </c>
      <c r="L129" s="18"/>
      <c r="M129" s="18"/>
      <c r="N129" s="16">
        <f>LOOKUP(HEX2DEC(MID(F129,4,1)),VC!A1:C16)</f>
        <v>8</v>
      </c>
      <c r="O129" s="16">
        <f>LOOKUP(HEX2DEC(MID(F129,4,1)),VC!A1:B16)</f>
        <v>4</v>
      </c>
      <c r="P129" s="16">
        <f>LOOKUP(HEX2DEC(MID(F129,4,1)),VC!A1:D16)</f>
        <v>12</v>
      </c>
    </row>
    <row r="130" spans="2:16" ht="45" customHeight="1" x14ac:dyDescent="0.25">
      <c r="B130" s="15">
        <f>B131+1</f>
        <v>1</v>
      </c>
      <c r="C130" s="15" t="str">
        <f t="shared" si="14"/>
        <v>1</v>
      </c>
      <c r="D130" s="15" t="str">
        <f>DEC2HEX(HEX2DEC(D131)+1)</f>
        <v>1</v>
      </c>
      <c r="E130" s="15">
        <f t="shared" si="15"/>
        <v>1</v>
      </c>
      <c r="F130" s="16" t="str">
        <f t="shared" si="16"/>
        <v>0101</v>
      </c>
      <c r="G130" s="16">
        <f>G131</f>
        <v>30</v>
      </c>
      <c r="H130" s="17" t="s">
        <v>400</v>
      </c>
      <c r="I130" s="19" t="s">
        <v>448</v>
      </c>
      <c r="J130" s="17" t="s">
        <v>321</v>
      </c>
      <c r="K130" s="16" t="s">
        <v>363</v>
      </c>
      <c r="L130" s="18"/>
      <c r="M130" s="18" t="str">
        <f t="shared" ref="M130" si="18">CONCATENATE("Base Port ",E130)</f>
        <v>Base Port 1</v>
      </c>
      <c r="N130" s="16">
        <f>LOOKUP(HEX2DEC(MID(F130,4,1)),VC!A1:C16)</f>
        <v>9</v>
      </c>
      <c r="O130" s="16">
        <f>LOOKUP(HEX2DEC(MID(F130,4,1)),VC!A1:B16)</f>
        <v>3</v>
      </c>
      <c r="P130" s="16">
        <f>LOOKUP(HEX2DEC(MID(F130,4,1)),VC!A1:D16)</f>
        <v>11</v>
      </c>
    </row>
    <row r="131" spans="2:16" ht="30" customHeight="1" x14ac:dyDescent="0.25">
      <c r="B131" s="15">
        <v>0</v>
      </c>
      <c r="C131" s="15" t="str">
        <f>SUBSTITUTE(SUBSTITUTE(Switch_base!B8,"0x0",""),"0x","")</f>
        <v>1</v>
      </c>
      <c r="D131" s="15">
        <v>0</v>
      </c>
      <c r="E131" s="15">
        <f t="shared" si="15"/>
        <v>0</v>
      </c>
      <c r="F131" s="16" t="str">
        <f t="shared" si="16"/>
        <v>0100</v>
      </c>
      <c r="G131" s="16">
        <f>Switch_base!B3</f>
        <v>30</v>
      </c>
      <c r="H131" s="17" t="s">
        <v>400</v>
      </c>
      <c r="I131" s="19" t="s">
        <v>422</v>
      </c>
      <c r="J131" s="17" t="s">
        <v>321</v>
      </c>
      <c r="K131" s="16" t="s">
        <v>363</v>
      </c>
      <c r="L131" s="18"/>
      <c r="M131" s="18" t="str">
        <f>CONCATENATE("Base Port ",E131)</f>
        <v>Base Port 0</v>
      </c>
      <c r="N131" s="16">
        <f>LOOKUP(HEX2DEC(MID(F131,4,1)),VC!A1:C16)</f>
        <v>8</v>
      </c>
      <c r="O131" s="16">
        <f>LOOKUP(HEX2DEC(MID(F131,4,1)),VC!A1:B16)</f>
        <v>2</v>
      </c>
      <c r="P131" s="16">
        <f>LOOKUP(HEX2DEC(MID(F131,4,1)),VC!A1:D16)</f>
        <v>10</v>
      </c>
    </row>
  </sheetData>
  <mergeCells count="1">
    <mergeCell ref="B1:P1"/>
  </mergeCells>
  <dataValidations count="2">
    <dataValidation type="list" allowBlank="1" showInputMessage="1" showErrorMessage="1" error="Valid options are: Clear (empty cell), &quot;Enable&quot;, &quot;Disable&quot;, or Persistent Disable." sqref="H4:H131 J4:J131" xr:uid="{3E5B968C-23B0-47C4-A3D5-E1C44706FD47}">
      <formula1>"Enable,Disable,Persistent Disable"</formula1>
    </dataValidation>
    <dataValidation type="list" allowBlank="1" showInputMessage="1" showErrorMessage="1" error="Valid options are: Clear (empty cell), &quot;Yes&quot; or &quot;No&quot;." sqref="K4:K131" xr:uid="{D244EFC8-DCEF-473F-88C2-1C8DBF2A2B84}">
      <formula1>"Reserve,Release"</formula1>
    </dataValidation>
  </dataValidations>
  <pageMargins left="0.7" right="0.7" top="0.75" bottom="0.75" header="0.3" footer="0.3"/>
  <pageSetup orientation="landscape"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6"/>
  <sheetViews>
    <sheetView workbookViewId="0">
      <selection activeCell="D2" sqref="D2:D256"/>
    </sheetView>
  </sheetViews>
  <sheetFormatPr defaultRowHeight="15" x14ac:dyDescent="0.25"/>
  <sheetData>
    <row r="1" spans="1:5" x14ac:dyDescent="0.25">
      <c r="A1" t="s">
        <v>23</v>
      </c>
      <c r="B1" t="s">
        <v>2</v>
      </c>
      <c r="C1" t="s">
        <v>24</v>
      </c>
      <c r="D1" t="s">
        <v>271</v>
      </c>
      <c r="E1" t="s">
        <v>272</v>
      </c>
    </row>
    <row r="2" spans="1:5" x14ac:dyDescent="0.25">
      <c r="A2" t="s">
        <v>19</v>
      </c>
      <c r="B2">
        <v>1</v>
      </c>
      <c r="C2" t="s">
        <v>26</v>
      </c>
      <c r="D2" t="s">
        <v>19</v>
      </c>
      <c r="E2" t="s">
        <v>384</v>
      </c>
    </row>
    <row r="3" spans="1:5" x14ac:dyDescent="0.25">
      <c r="A3" t="s">
        <v>25</v>
      </c>
      <c r="B3">
        <f>B2+1</f>
        <v>2</v>
      </c>
      <c r="C3" t="s">
        <v>28</v>
      </c>
      <c r="D3" t="s">
        <v>25</v>
      </c>
      <c r="E3" t="s">
        <v>273</v>
      </c>
    </row>
    <row r="4" spans="1:5" x14ac:dyDescent="0.25">
      <c r="A4" t="s">
        <v>27</v>
      </c>
      <c r="B4">
        <f t="shared" ref="B4:B67" si="0">B3+1</f>
        <v>3</v>
      </c>
      <c r="C4" t="s">
        <v>30</v>
      </c>
      <c r="D4" t="s">
        <v>27</v>
      </c>
      <c r="E4" t="s">
        <v>274</v>
      </c>
    </row>
    <row r="5" spans="1:5" x14ac:dyDescent="0.25">
      <c r="A5" t="s">
        <v>29</v>
      </c>
      <c r="B5">
        <f t="shared" si="0"/>
        <v>4</v>
      </c>
      <c r="D5" t="s">
        <v>29</v>
      </c>
    </row>
    <row r="6" spans="1:5" x14ac:dyDescent="0.25">
      <c r="A6" t="s">
        <v>31</v>
      </c>
      <c r="B6">
        <f t="shared" si="0"/>
        <v>5</v>
      </c>
      <c r="D6" t="s">
        <v>31</v>
      </c>
    </row>
    <row r="7" spans="1:5" x14ac:dyDescent="0.25">
      <c r="A7" t="s">
        <v>32</v>
      </c>
      <c r="B7">
        <f t="shared" si="0"/>
        <v>6</v>
      </c>
      <c r="D7" t="s">
        <v>32</v>
      </c>
    </row>
    <row r="8" spans="1:5" x14ac:dyDescent="0.25">
      <c r="A8" t="s">
        <v>33</v>
      </c>
      <c r="B8">
        <f t="shared" si="0"/>
        <v>7</v>
      </c>
      <c r="D8" t="s">
        <v>33</v>
      </c>
    </row>
    <row r="9" spans="1:5" x14ac:dyDescent="0.25">
      <c r="A9" t="s">
        <v>34</v>
      </c>
      <c r="B9">
        <f t="shared" si="0"/>
        <v>8</v>
      </c>
      <c r="D9" t="s">
        <v>34</v>
      </c>
    </row>
    <row r="10" spans="1:5" x14ac:dyDescent="0.25">
      <c r="A10" t="s">
        <v>35</v>
      </c>
      <c r="B10">
        <f t="shared" si="0"/>
        <v>9</v>
      </c>
      <c r="D10" t="s">
        <v>35</v>
      </c>
    </row>
    <row r="11" spans="1:5" x14ac:dyDescent="0.25">
      <c r="A11" t="s">
        <v>36</v>
      </c>
      <c r="B11">
        <f t="shared" si="0"/>
        <v>10</v>
      </c>
      <c r="D11" t="s">
        <v>36</v>
      </c>
    </row>
    <row r="12" spans="1:5" x14ac:dyDescent="0.25">
      <c r="A12" t="s">
        <v>37</v>
      </c>
      <c r="B12">
        <f t="shared" si="0"/>
        <v>11</v>
      </c>
      <c r="D12" t="s">
        <v>37</v>
      </c>
    </row>
    <row r="13" spans="1:5" x14ac:dyDescent="0.25">
      <c r="A13" t="s">
        <v>38</v>
      </c>
      <c r="B13">
        <f t="shared" si="0"/>
        <v>12</v>
      </c>
      <c r="D13" t="s">
        <v>38</v>
      </c>
    </row>
    <row r="14" spans="1:5" x14ac:dyDescent="0.25">
      <c r="A14" t="s">
        <v>39</v>
      </c>
      <c r="B14">
        <f t="shared" si="0"/>
        <v>13</v>
      </c>
      <c r="D14" t="s">
        <v>39</v>
      </c>
    </row>
    <row r="15" spans="1:5" x14ac:dyDescent="0.25">
      <c r="A15" t="s">
        <v>40</v>
      </c>
      <c r="B15">
        <f t="shared" si="0"/>
        <v>14</v>
      </c>
      <c r="D15" t="s">
        <v>40</v>
      </c>
    </row>
    <row r="16" spans="1:5" x14ac:dyDescent="0.25">
      <c r="A16" t="s">
        <v>41</v>
      </c>
      <c r="B16">
        <f t="shared" si="0"/>
        <v>15</v>
      </c>
      <c r="D16" t="s">
        <v>41</v>
      </c>
    </row>
    <row r="17" spans="1:4" x14ac:dyDescent="0.25">
      <c r="A17" t="s">
        <v>42</v>
      </c>
      <c r="B17">
        <f t="shared" si="0"/>
        <v>16</v>
      </c>
      <c r="D17" t="s">
        <v>42</v>
      </c>
    </row>
    <row r="18" spans="1:4" x14ac:dyDescent="0.25">
      <c r="A18" t="s">
        <v>43</v>
      </c>
      <c r="B18">
        <f t="shared" si="0"/>
        <v>17</v>
      </c>
      <c r="D18" t="s">
        <v>43</v>
      </c>
    </row>
    <row r="19" spans="1:4" x14ac:dyDescent="0.25">
      <c r="A19" t="s">
        <v>44</v>
      </c>
      <c r="B19">
        <f t="shared" si="0"/>
        <v>18</v>
      </c>
      <c r="D19" t="s">
        <v>44</v>
      </c>
    </row>
    <row r="20" spans="1:4" x14ac:dyDescent="0.25">
      <c r="A20" t="s">
        <v>45</v>
      </c>
      <c r="B20">
        <f t="shared" si="0"/>
        <v>19</v>
      </c>
      <c r="D20" t="s">
        <v>45</v>
      </c>
    </row>
    <row r="21" spans="1:4" x14ac:dyDescent="0.25">
      <c r="A21" t="s">
        <v>46</v>
      </c>
      <c r="B21">
        <f t="shared" si="0"/>
        <v>20</v>
      </c>
      <c r="D21" t="s">
        <v>46</v>
      </c>
    </row>
    <row r="22" spans="1:4" x14ac:dyDescent="0.25">
      <c r="A22" t="s">
        <v>47</v>
      </c>
      <c r="B22">
        <f t="shared" si="0"/>
        <v>21</v>
      </c>
      <c r="D22" t="s">
        <v>47</v>
      </c>
    </row>
    <row r="23" spans="1:4" x14ac:dyDescent="0.25">
      <c r="A23" t="s">
        <v>48</v>
      </c>
      <c r="B23">
        <f t="shared" si="0"/>
        <v>22</v>
      </c>
      <c r="D23" t="s">
        <v>48</v>
      </c>
    </row>
    <row r="24" spans="1:4" x14ac:dyDescent="0.25">
      <c r="A24" t="s">
        <v>49</v>
      </c>
      <c r="B24">
        <f t="shared" si="0"/>
        <v>23</v>
      </c>
      <c r="D24" t="s">
        <v>49</v>
      </c>
    </row>
    <row r="25" spans="1:4" x14ac:dyDescent="0.25">
      <c r="A25" t="s">
        <v>50</v>
      </c>
      <c r="B25">
        <f t="shared" si="0"/>
        <v>24</v>
      </c>
      <c r="D25" t="s">
        <v>50</v>
      </c>
    </row>
    <row r="26" spans="1:4" x14ac:dyDescent="0.25">
      <c r="A26" t="s">
        <v>51</v>
      </c>
      <c r="B26">
        <f t="shared" si="0"/>
        <v>25</v>
      </c>
      <c r="D26" t="s">
        <v>51</v>
      </c>
    </row>
    <row r="27" spans="1:4" x14ac:dyDescent="0.25">
      <c r="A27" t="s">
        <v>52</v>
      </c>
      <c r="B27">
        <f t="shared" si="0"/>
        <v>26</v>
      </c>
      <c r="D27" t="s">
        <v>52</v>
      </c>
    </row>
    <row r="28" spans="1:4" x14ac:dyDescent="0.25">
      <c r="A28" t="s">
        <v>53</v>
      </c>
      <c r="B28">
        <f t="shared" si="0"/>
        <v>27</v>
      </c>
      <c r="D28" t="s">
        <v>53</v>
      </c>
    </row>
    <row r="29" spans="1:4" x14ac:dyDescent="0.25">
      <c r="A29" t="s">
        <v>54</v>
      </c>
      <c r="B29">
        <f t="shared" si="0"/>
        <v>28</v>
      </c>
      <c r="D29" t="s">
        <v>54</v>
      </c>
    </row>
    <row r="30" spans="1:4" x14ac:dyDescent="0.25">
      <c r="A30" t="s">
        <v>55</v>
      </c>
      <c r="B30">
        <f t="shared" si="0"/>
        <v>29</v>
      </c>
      <c r="D30" t="s">
        <v>55</v>
      </c>
    </row>
    <row r="31" spans="1:4" x14ac:dyDescent="0.25">
      <c r="A31" t="s">
        <v>56</v>
      </c>
      <c r="B31">
        <f t="shared" si="0"/>
        <v>30</v>
      </c>
      <c r="D31" t="s">
        <v>56</v>
      </c>
    </row>
    <row r="32" spans="1:4" x14ac:dyDescent="0.25">
      <c r="A32" t="s">
        <v>57</v>
      </c>
      <c r="B32">
        <f t="shared" si="0"/>
        <v>31</v>
      </c>
      <c r="D32" t="s">
        <v>57</v>
      </c>
    </row>
    <row r="33" spans="1:4" x14ac:dyDescent="0.25">
      <c r="A33" t="s">
        <v>58</v>
      </c>
      <c r="B33">
        <f t="shared" si="0"/>
        <v>32</v>
      </c>
      <c r="D33" t="s">
        <v>58</v>
      </c>
    </row>
    <row r="34" spans="1:4" x14ac:dyDescent="0.25">
      <c r="A34" t="s">
        <v>59</v>
      </c>
      <c r="B34">
        <f t="shared" si="0"/>
        <v>33</v>
      </c>
      <c r="D34" t="s">
        <v>59</v>
      </c>
    </row>
    <row r="35" spans="1:4" x14ac:dyDescent="0.25">
      <c r="A35" t="s">
        <v>60</v>
      </c>
      <c r="B35">
        <f t="shared" si="0"/>
        <v>34</v>
      </c>
      <c r="D35" t="s">
        <v>60</v>
      </c>
    </row>
    <row r="36" spans="1:4" x14ac:dyDescent="0.25">
      <c r="A36" t="s">
        <v>61</v>
      </c>
      <c r="B36">
        <f t="shared" si="0"/>
        <v>35</v>
      </c>
      <c r="D36" t="s">
        <v>61</v>
      </c>
    </row>
    <row r="37" spans="1:4" x14ac:dyDescent="0.25">
      <c r="A37" t="s">
        <v>62</v>
      </c>
      <c r="B37">
        <f t="shared" si="0"/>
        <v>36</v>
      </c>
      <c r="D37" t="s">
        <v>62</v>
      </c>
    </row>
    <row r="38" spans="1:4" x14ac:dyDescent="0.25">
      <c r="A38" t="s">
        <v>63</v>
      </c>
      <c r="B38">
        <f t="shared" si="0"/>
        <v>37</v>
      </c>
      <c r="D38" t="s">
        <v>63</v>
      </c>
    </row>
    <row r="39" spans="1:4" x14ac:dyDescent="0.25">
      <c r="A39" t="s">
        <v>64</v>
      </c>
      <c r="B39">
        <f t="shared" si="0"/>
        <v>38</v>
      </c>
      <c r="D39" t="s">
        <v>64</v>
      </c>
    </row>
    <row r="40" spans="1:4" x14ac:dyDescent="0.25">
      <c r="A40" t="s">
        <v>65</v>
      </c>
      <c r="B40">
        <f t="shared" si="0"/>
        <v>39</v>
      </c>
      <c r="D40" t="s">
        <v>65</v>
      </c>
    </row>
    <row r="41" spans="1:4" x14ac:dyDescent="0.25">
      <c r="A41" t="s">
        <v>66</v>
      </c>
      <c r="B41">
        <f t="shared" si="0"/>
        <v>40</v>
      </c>
      <c r="D41" t="s">
        <v>66</v>
      </c>
    </row>
    <row r="42" spans="1:4" x14ac:dyDescent="0.25">
      <c r="A42" t="s">
        <v>67</v>
      </c>
      <c r="B42">
        <f t="shared" si="0"/>
        <v>41</v>
      </c>
      <c r="D42" t="s">
        <v>67</v>
      </c>
    </row>
    <row r="43" spans="1:4" x14ac:dyDescent="0.25">
      <c r="A43" t="s">
        <v>68</v>
      </c>
      <c r="B43">
        <f t="shared" si="0"/>
        <v>42</v>
      </c>
      <c r="D43" t="s">
        <v>68</v>
      </c>
    </row>
    <row r="44" spans="1:4" x14ac:dyDescent="0.25">
      <c r="A44" t="s">
        <v>69</v>
      </c>
      <c r="B44">
        <f t="shared" si="0"/>
        <v>43</v>
      </c>
      <c r="D44" t="s">
        <v>69</v>
      </c>
    </row>
    <row r="45" spans="1:4" x14ac:dyDescent="0.25">
      <c r="A45" t="s">
        <v>70</v>
      </c>
      <c r="B45">
        <f t="shared" si="0"/>
        <v>44</v>
      </c>
      <c r="D45" t="s">
        <v>70</v>
      </c>
    </row>
    <row r="46" spans="1:4" x14ac:dyDescent="0.25">
      <c r="A46" t="s">
        <v>71</v>
      </c>
      <c r="B46">
        <f t="shared" si="0"/>
        <v>45</v>
      </c>
      <c r="D46" t="s">
        <v>71</v>
      </c>
    </row>
    <row r="47" spans="1:4" x14ac:dyDescent="0.25">
      <c r="A47" t="s">
        <v>72</v>
      </c>
      <c r="B47">
        <f t="shared" si="0"/>
        <v>46</v>
      </c>
      <c r="D47" t="s">
        <v>72</v>
      </c>
    </row>
    <row r="48" spans="1:4" x14ac:dyDescent="0.25">
      <c r="A48" t="s">
        <v>73</v>
      </c>
      <c r="B48">
        <f t="shared" si="0"/>
        <v>47</v>
      </c>
      <c r="D48" t="s">
        <v>73</v>
      </c>
    </row>
    <row r="49" spans="1:4" x14ac:dyDescent="0.25">
      <c r="A49" t="s">
        <v>74</v>
      </c>
      <c r="B49">
        <f t="shared" si="0"/>
        <v>48</v>
      </c>
      <c r="D49" t="s">
        <v>74</v>
      </c>
    </row>
    <row r="50" spans="1:4" x14ac:dyDescent="0.25">
      <c r="A50" t="s">
        <v>75</v>
      </c>
      <c r="B50">
        <f t="shared" si="0"/>
        <v>49</v>
      </c>
      <c r="D50" t="s">
        <v>75</v>
      </c>
    </row>
    <row r="51" spans="1:4" x14ac:dyDescent="0.25">
      <c r="A51" t="s">
        <v>76</v>
      </c>
      <c r="B51">
        <f t="shared" si="0"/>
        <v>50</v>
      </c>
      <c r="D51" t="s">
        <v>76</v>
      </c>
    </row>
    <row r="52" spans="1:4" x14ac:dyDescent="0.25">
      <c r="A52" t="s">
        <v>77</v>
      </c>
      <c r="B52">
        <f t="shared" si="0"/>
        <v>51</v>
      </c>
      <c r="D52" t="s">
        <v>77</v>
      </c>
    </row>
    <row r="53" spans="1:4" x14ac:dyDescent="0.25">
      <c r="A53" t="s">
        <v>78</v>
      </c>
      <c r="B53">
        <f t="shared" si="0"/>
        <v>52</v>
      </c>
      <c r="D53" t="s">
        <v>78</v>
      </c>
    </row>
    <row r="54" spans="1:4" x14ac:dyDescent="0.25">
      <c r="A54" t="s">
        <v>79</v>
      </c>
      <c r="B54">
        <f t="shared" si="0"/>
        <v>53</v>
      </c>
      <c r="D54" t="s">
        <v>79</v>
      </c>
    </row>
    <row r="55" spans="1:4" x14ac:dyDescent="0.25">
      <c r="A55" t="s">
        <v>80</v>
      </c>
      <c r="B55">
        <f t="shared" si="0"/>
        <v>54</v>
      </c>
      <c r="D55" t="s">
        <v>80</v>
      </c>
    </row>
    <row r="56" spans="1:4" x14ac:dyDescent="0.25">
      <c r="A56" t="s">
        <v>81</v>
      </c>
      <c r="B56">
        <f t="shared" si="0"/>
        <v>55</v>
      </c>
      <c r="D56" t="s">
        <v>81</v>
      </c>
    </row>
    <row r="57" spans="1:4" x14ac:dyDescent="0.25">
      <c r="A57" t="s">
        <v>82</v>
      </c>
      <c r="B57">
        <f t="shared" si="0"/>
        <v>56</v>
      </c>
      <c r="D57" t="s">
        <v>82</v>
      </c>
    </row>
    <row r="58" spans="1:4" x14ac:dyDescent="0.25">
      <c r="A58" t="s">
        <v>83</v>
      </c>
      <c r="B58">
        <f t="shared" si="0"/>
        <v>57</v>
      </c>
      <c r="D58" t="s">
        <v>83</v>
      </c>
    </row>
    <row r="59" spans="1:4" x14ac:dyDescent="0.25">
      <c r="A59" t="s">
        <v>84</v>
      </c>
      <c r="B59">
        <f t="shared" si="0"/>
        <v>58</v>
      </c>
      <c r="D59" t="s">
        <v>84</v>
      </c>
    </row>
    <row r="60" spans="1:4" x14ac:dyDescent="0.25">
      <c r="A60" t="s">
        <v>85</v>
      </c>
      <c r="B60">
        <f t="shared" si="0"/>
        <v>59</v>
      </c>
      <c r="D60" t="s">
        <v>85</v>
      </c>
    </row>
    <row r="61" spans="1:4" x14ac:dyDescent="0.25">
      <c r="A61" t="s">
        <v>86</v>
      </c>
      <c r="B61">
        <f t="shared" si="0"/>
        <v>60</v>
      </c>
      <c r="D61" t="s">
        <v>86</v>
      </c>
    </row>
    <row r="62" spans="1:4" x14ac:dyDescent="0.25">
      <c r="A62" t="s">
        <v>87</v>
      </c>
      <c r="B62">
        <f t="shared" si="0"/>
        <v>61</v>
      </c>
      <c r="D62" t="s">
        <v>87</v>
      </c>
    </row>
    <row r="63" spans="1:4" x14ac:dyDescent="0.25">
      <c r="A63" t="s">
        <v>88</v>
      </c>
      <c r="B63">
        <f t="shared" si="0"/>
        <v>62</v>
      </c>
      <c r="D63" t="s">
        <v>88</v>
      </c>
    </row>
    <row r="64" spans="1:4" x14ac:dyDescent="0.25">
      <c r="A64" t="s">
        <v>89</v>
      </c>
      <c r="B64">
        <f t="shared" si="0"/>
        <v>63</v>
      </c>
      <c r="D64" t="s">
        <v>89</v>
      </c>
    </row>
    <row r="65" spans="1:4" x14ac:dyDescent="0.25">
      <c r="A65" t="s">
        <v>90</v>
      </c>
      <c r="B65">
        <f t="shared" si="0"/>
        <v>64</v>
      </c>
      <c r="D65" t="s">
        <v>90</v>
      </c>
    </row>
    <row r="66" spans="1:4" x14ac:dyDescent="0.25">
      <c r="A66" t="s">
        <v>91</v>
      </c>
      <c r="B66">
        <f t="shared" si="0"/>
        <v>65</v>
      </c>
      <c r="D66" t="s">
        <v>91</v>
      </c>
    </row>
    <row r="67" spans="1:4" x14ac:dyDescent="0.25">
      <c r="A67" t="s">
        <v>92</v>
      </c>
      <c r="B67">
        <f t="shared" si="0"/>
        <v>66</v>
      </c>
      <c r="D67" t="s">
        <v>92</v>
      </c>
    </row>
    <row r="68" spans="1:4" x14ac:dyDescent="0.25">
      <c r="A68" t="s">
        <v>93</v>
      </c>
      <c r="B68">
        <f t="shared" ref="B68:B129" si="1">B67+1</f>
        <v>67</v>
      </c>
      <c r="D68" t="s">
        <v>93</v>
      </c>
    </row>
    <row r="69" spans="1:4" x14ac:dyDescent="0.25">
      <c r="A69" t="s">
        <v>94</v>
      </c>
      <c r="B69">
        <f t="shared" si="1"/>
        <v>68</v>
      </c>
      <c r="D69" t="s">
        <v>94</v>
      </c>
    </row>
    <row r="70" spans="1:4" x14ac:dyDescent="0.25">
      <c r="A70" t="s">
        <v>95</v>
      </c>
      <c r="B70">
        <f t="shared" si="1"/>
        <v>69</v>
      </c>
      <c r="D70" t="s">
        <v>95</v>
      </c>
    </row>
    <row r="71" spans="1:4" x14ac:dyDescent="0.25">
      <c r="A71" t="s">
        <v>96</v>
      </c>
      <c r="B71">
        <f t="shared" si="1"/>
        <v>70</v>
      </c>
      <c r="D71" t="s">
        <v>96</v>
      </c>
    </row>
    <row r="72" spans="1:4" x14ac:dyDescent="0.25">
      <c r="A72" t="s">
        <v>97</v>
      </c>
      <c r="B72">
        <f t="shared" si="1"/>
        <v>71</v>
      </c>
      <c r="D72" t="s">
        <v>97</v>
      </c>
    </row>
    <row r="73" spans="1:4" x14ac:dyDescent="0.25">
      <c r="A73" t="s">
        <v>98</v>
      </c>
      <c r="B73">
        <f t="shared" si="1"/>
        <v>72</v>
      </c>
      <c r="D73" t="s">
        <v>98</v>
      </c>
    </row>
    <row r="74" spans="1:4" x14ac:dyDescent="0.25">
      <c r="A74" t="s">
        <v>99</v>
      </c>
      <c r="B74">
        <f t="shared" si="1"/>
        <v>73</v>
      </c>
      <c r="D74" t="s">
        <v>99</v>
      </c>
    </row>
    <row r="75" spans="1:4" x14ac:dyDescent="0.25">
      <c r="A75" t="s">
        <v>100</v>
      </c>
      <c r="B75">
        <f t="shared" si="1"/>
        <v>74</v>
      </c>
      <c r="D75" t="s">
        <v>100</v>
      </c>
    </row>
    <row r="76" spans="1:4" x14ac:dyDescent="0.25">
      <c r="A76" t="s">
        <v>101</v>
      </c>
      <c r="B76">
        <f t="shared" si="1"/>
        <v>75</v>
      </c>
      <c r="D76" t="s">
        <v>101</v>
      </c>
    </row>
    <row r="77" spans="1:4" x14ac:dyDescent="0.25">
      <c r="A77" t="s">
        <v>102</v>
      </c>
      <c r="B77">
        <f t="shared" si="1"/>
        <v>76</v>
      </c>
      <c r="D77" t="s">
        <v>102</v>
      </c>
    </row>
    <row r="78" spans="1:4" x14ac:dyDescent="0.25">
      <c r="A78" t="s">
        <v>103</v>
      </c>
      <c r="B78">
        <f t="shared" si="1"/>
        <v>77</v>
      </c>
      <c r="D78" t="s">
        <v>103</v>
      </c>
    </row>
    <row r="79" spans="1:4" x14ac:dyDescent="0.25">
      <c r="A79" t="s">
        <v>104</v>
      </c>
      <c r="B79">
        <f t="shared" si="1"/>
        <v>78</v>
      </c>
      <c r="D79" t="s">
        <v>104</v>
      </c>
    </row>
    <row r="80" spans="1:4" x14ac:dyDescent="0.25">
      <c r="A80" t="s">
        <v>105</v>
      </c>
      <c r="B80">
        <f t="shared" si="1"/>
        <v>79</v>
      </c>
      <c r="D80" t="s">
        <v>105</v>
      </c>
    </row>
    <row r="81" spans="1:4" x14ac:dyDescent="0.25">
      <c r="A81" t="s">
        <v>106</v>
      </c>
      <c r="B81">
        <f t="shared" si="1"/>
        <v>80</v>
      </c>
      <c r="D81" t="s">
        <v>106</v>
      </c>
    </row>
    <row r="82" spans="1:4" x14ac:dyDescent="0.25">
      <c r="A82" t="s">
        <v>107</v>
      </c>
      <c r="B82">
        <f t="shared" si="1"/>
        <v>81</v>
      </c>
      <c r="D82" t="s">
        <v>107</v>
      </c>
    </row>
    <row r="83" spans="1:4" x14ac:dyDescent="0.25">
      <c r="A83" t="s">
        <v>108</v>
      </c>
      <c r="B83">
        <f t="shared" si="1"/>
        <v>82</v>
      </c>
      <c r="D83" t="s">
        <v>108</v>
      </c>
    </row>
    <row r="84" spans="1:4" x14ac:dyDescent="0.25">
      <c r="A84" t="s">
        <v>109</v>
      </c>
      <c r="B84">
        <f t="shared" si="1"/>
        <v>83</v>
      </c>
      <c r="D84" t="s">
        <v>109</v>
      </c>
    </row>
    <row r="85" spans="1:4" x14ac:dyDescent="0.25">
      <c r="A85" t="s">
        <v>110</v>
      </c>
      <c r="B85">
        <f t="shared" si="1"/>
        <v>84</v>
      </c>
      <c r="D85" t="s">
        <v>110</v>
      </c>
    </row>
    <row r="86" spans="1:4" x14ac:dyDescent="0.25">
      <c r="A86" t="s">
        <v>111</v>
      </c>
      <c r="B86">
        <f t="shared" si="1"/>
        <v>85</v>
      </c>
      <c r="D86" t="s">
        <v>111</v>
      </c>
    </row>
    <row r="87" spans="1:4" x14ac:dyDescent="0.25">
      <c r="A87" t="s">
        <v>112</v>
      </c>
      <c r="B87">
        <f t="shared" si="1"/>
        <v>86</v>
      </c>
      <c r="D87" t="s">
        <v>112</v>
      </c>
    </row>
    <row r="88" spans="1:4" x14ac:dyDescent="0.25">
      <c r="A88" t="s">
        <v>113</v>
      </c>
      <c r="B88">
        <f t="shared" si="1"/>
        <v>87</v>
      </c>
      <c r="D88" t="s">
        <v>113</v>
      </c>
    </row>
    <row r="89" spans="1:4" x14ac:dyDescent="0.25">
      <c r="A89" t="s">
        <v>114</v>
      </c>
      <c r="B89">
        <f t="shared" si="1"/>
        <v>88</v>
      </c>
      <c r="D89" t="s">
        <v>114</v>
      </c>
    </row>
    <row r="90" spans="1:4" x14ac:dyDescent="0.25">
      <c r="A90" t="s">
        <v>115</v>
      </c>
      <c r="B90">
        <f t="shared" si="1"/>
        <v>89</v>
      </c>
      <c r="D90" t="s">
        <v>115</v>
      </c>
    </row>
    <row r="91" spans="1:4" x14ac:dyDescent="0.25">
      <c r="A91" t="s">
        <v>116</v>
      </c>
      <c r="B91">
        <f t="shared" si="1"/>
        <v>90</v>
      </c>
      <c r="D91" t="s">
        <v>116</v>
      </c>
    </row>
    <row r="92" spans="1:4" x14ac:dyDescent="0.25">
      <c r="A92" t="s">
        <v>117</v>
      </c>
      <c r="B92">
        <f t="shared" si="1"/>
        <v>91</v>
      </c>
      <c r="D92" t="s">
        <v>117</v>
      </c>
    </row>
    <row r="93" spans="1:4" x14ac:dyDescent="0.25">
      <c r="A93" t="s">
        <v>118</v>
      </c>
      <c r="B93">
        <f t="shared" si="1"/>
        <v>92</v>
      </c>
      <c r="D93" t="s">
        <v>118</v>
      </c>
    </row>
    <row r="94" spans="1:4" x14ac:dyDescent="0.25">
      <c r="A94" t="s">
        <v>119</v>
      </c>
      <c r="B94">
        <f t="shared" si="1"/>
        <v>93</v>
      </c>
      <c r="D94" t="s">
        <v>119</v>
      </c>
    </row>
    <row r="95" spans="1:4" x14ac:dyDescent="0.25">
      <c r="A95" t="s">
        <v>120</v>
      </c>
      <c r="B95">
        <f t="shared" si="1"/>
        <v>94</v>
      </c>
      <c r="D95" t="s">
        <v>120</v>
      </c>
    </row>
    <row r="96" spans="1:4" x14ac:dyDescent="0.25">
      <c r="A96" t="s">
        <v>121</v>
      </c>
      <c r="B96">
        <f t="shared" si="1"/>
        <v>95</v>
      </c>
      <c r="D96" t="s">
        <v>121</v>
      </c>
    </row>
    <row r="97" spans="1:4" x14ac:dyDescent="0.25">
      <c r="A97" t="s">
        <v>122</v>
      </c>
      <c r="B97">
        <f t="shared" si="1"/>
        <v>96</v>
      </c>
      <c r="D97" t="s">
        <v>122</v>
      </c>
    </row>
    <row r="98" spans="1:4" x14ac:dyDescent="0.25">
      <c r="A98" t="s">
        <v>123</v>
      </c>
      <c r="B98">
        <f t="shared" si="1"/>
        <v>97</v>
      </c>
      <c r="D98" t="s">
        <v>123</v>
      </c>
    </row>
    <row r="99" spans="1:4" x14ac:dyDescent="0.25">
      <c r="A99" t="s">
        <v>124</v>
      </c>
      <c r="B99">
        <f t="shared" si="1"/>
        <v>98</v>
      </c>
      <c r="D99" t="s">
        <v>124</v>
      </c>
    </row>
    <row r="100" spans="1:4" x14ac:dyDescent="0.25">
      <c r="A100" t="s">
        <v>125</v>
      </c>
      <c r="B100">
        <f t="shared" si="1"/>
        <v>99</v>
      </c>
      <c r="D100" t="s">
        <v>125</v>
      </c>
    </row>
    <row r="101" spans="1:4" x14ac:dyDescent="0.25">
      <c r="A101" t="s">
        <v>126</v>
      </c>
      <c r="B101">
        <f t="shared" si="1"/>
        <v>100</v>
      </c>
      <c r="D101" t="s">
        <v>126</v>
      </c>
    </row>
    <row r="102" spans="1:4" x14ac:dyDescent="0.25">
      <c r="A102" t="s">
        <v>127</v>
      </c>
      <c r="B102">
        <f t="shared" si="1"/>
        <v>101</v>
      </c>
      <c r="D102" t="s">
        <v>127</v>
      </c>
    </row>
    <row r="103" spans="1:4" x14ac:dyDescent="0.25">
      <c r="A103" t="s">
        <v>128</v>
      </c>
      <c r="B103">
        <f t="shared" si="1"/>
        <v>102</v>
      </c>
      <c r="D103" t="s">
        <v>128</v>
      </c>
    </row>
    <row r="104" spans="1:4" x14ac:dyDescent="0.25">
      <c r="A104" t="s">
        <v>129</v>
      </c>
      <c r="B104">
        <f t="shared" si="1"/>
        <v>103</v>
      </c>
      <c r="D104" t="s">
        <v>129</v>
      </c>
    </row>
    <row r="105" spans="1:4" x14ac:dyDescent="0.25">
      <c r="A105" t="s">
        <v>130</v>
      </c>
      <c r="B105">
        <f t="shared" si="1"/>
        <v>104</v>
      </c>
      <c r="D105" t="s">
        <v>130</v>
      </c>
    </row>
    <row r="106" spans="1:4" x14ac:dyDescent="0.25">
      <c r="A106" t="s">
        <v>131</v>
      </c>
      <c r="B106">
        <f t="shared" si="1"/>
        <v>105</v>
      </c>
      <c r="D106" t="s">
        <v>131</v>
      </c>
    </row>
    <row r="107" spans="1:4" x14ac:dyDescent="0.25">
      <c r="A107" t="s">
        <v>132</v>
      </c>
      <c r="B107">
        <f t="shared" si="1"/>
        <v>106</v>
      </c>
      <c r="D107" t="s">
        <v>132</v>
      </c>
    </row>
    <row r="108" spans="1:4" x14ac:dyDescent="0.25">
      <c r="A108" t="s">
        <v>133</v>
      </c>
      <c r="B108">
        <f t="shared" si="1"/>
        <v>107</v>
      </c>
      <c r="D108" t="s">
        <v>133</v>
      </c>
    </row>
    <row r="109" spans="1:4" x14ac:dyDescent="0.25">
      <c r="A109" t="s">
        <v>134</v>
      </c>
      <c r="B109">
        <f t="shared" si="1"/>
        <v>108</v>
      </c>
      <c r="D109" t="s">
        <v>134</v>
      </c>
    </row>
    <row r="110" spans="1:4" x14ac:dyDescent="0.25">
      <c r="A110" t="s">
        <v>135</v>
      </c>
      <c r="B110">
        <f t="shared" si="1"/>
        <v>109</v>
      </c>
      <c r="D110" t="s">
        <v>135</v>
      </c>
    </row>
    <row r="111" spans="1:4" x14ac:dyDescent="0.25">
      <c r="A111" t="s">
        <v>136</v>
      </c>
      <c r="B111">
        <f t="shared" si="1"/>
        <v>110</v>
      </c>
      <c r="D111" t="s">
        <v>136</v>
      </c>
    </row>
    <row r="112" spans="1:4" x14ac:dyDescent="0.25">
      <c r="A112" t="s">
        <v>137</v>
      </c>
      <c r="B112">
        <f t="shared" si="1"/>
        <v>111</v>
      </c>
      <c r="D112" t="s">
        <v>137</v>
      </c>
    </row>
    <row r="113" spans="1:4" x14ac:dyDescent="0.25">
      <c r="A113" t="s">
        <v>138</v>
      </c>
      <c r="B113">
        <f t="shared" si="1"/>
        <v>112</v>
      </c>
      <c r="D113" t="s">
        <v>138</v>
      </c>
    </row>
    <row r="114" spans="1:4" x14ac:dyDescent="0.25">
      <c r="A114" t="s">
        <v>139</v>
      </c>
      <c r="B114">
        <f t="shared" si="1"/>
        <v>113</v>
      </c>
      <c r="D114" t="s">
        <v>139</v>
      </c>
    </row>
    <row r="115" spans="1:4" x14ac:dyDescent="0.25">
      <c r="A115" t="s">
        <v>140</v>
      </c>
      <c r="B115">
        <f t="shared" si="1"/>
        <v>114</v>
      </c>
      <c r="D115" t="s">
        <v>140</v>
      </c>
    </row>
    <row r="116" spans="1:4" x14ac:dyDescent="0.25">
      <c r="A116" t="s">
        <v>141</v>
      </c>
      <c r="B116">
        <f t="shared" si="1"/>
        <v>115</v>
      </c>
      <c r="D116" t="s">
        <v>141</v>
      </c>
    </row>
    <row r="117" spans="1:4" x14ac:dyDescent="0.25">
      <c r="A117" t="s">
        <v>142</v>
      </c>
      <c r="B117">
        <f t="shared" si="1"/>
        <v>116</v>
      </c>
      <c r="D117" t="s">
        <v>142</v>
      </c>
    </row>
    <row r="118" spans="1:4" x14ac:dyDescent="0.25">
      <c r="A118" t="s">
        <v>143</v>
      </c>
      <c r="B118">
        <f t="shared" si="1"/>
        <v>117</v>
      </c>
      <c r="D118" t="s">
        <v>143</v>
      </c>
    </row>
    <row r="119" spans="1:4" x14ac:dyDescent="0.25">
      <c r="A119" t="s">
        <v>144</v>
      </c>
      <c r="B119">
        <f t="shared" si="1"/>
        <v>118</v>
      </c>
      <c r="D119" t="s">
        <v>144</v>
      </c>
    </row>
    <row r="120" spans="1:4" x14ac:dyDescent="0.25">
      <c r="A120" t="s">
        <v>145</v>
      </c>
      <c r="B120">
        <f t="shared" si="1"/>
        <v>119</v>
      </c>
      <c r="D120" t="s">
        <v>145</v>
      </c>
    </row>
    <row r="121" spans="1:4" x14ac:dyDescent="0.25">
      <c r="A121" t="s">
        <v>146</v>
      </c>
      <c r="B121">
        <f t="shared" si="1"/>
        <v>120</v>
      </c>
      <c r="D121" t="s">
        <v>146</v>
      </c>
    </row>
    <row r="122" spans="1:4" x14ac:dyDescent="0.25">
      <c r="A122" t="s">
        <v>147</v>
      </c>
      <c r="B122">
        <f t="shared" si="1"/>
        <v>121</v>
      </c>
      <c r="D122" t="s">
        <v>147</v>
      </c>
    </row>
    <row r="123" spans="1:4" x14ac:dyDescent="0.25">
      <c r="A123" t="s">
        <v>148</v>
      </c>
      <c r="B123">
        <f t="shared" si="1"/>
        <v>122</v>
      </c>
      <c r="D123" t="s">
        <v>148</v>
      </c>
    </row>
    <row r="124" spans="1:4" x14ac:dyDescent="0.25">
      <c r="A124" t="s">
        <v>149</v>
      </c>
      <c r="B124">
        <f t="shared" si="1"/>
        <v>123</v>
      </c>
      <c r="D124" t="s">
        <v>149</v>
      </c>
    </row>
    <row r="125" spans="1:4" x14ac:dyDescent="0.25">
      <c r="A125" t="s">
        <v>150</v>
      </c>
      <c r="B125">
        <f t="shared" si="1"/>
        <v>124</v>
      </c>
      <c r="D125" t="s">
        <v>150</v>
      </c>
    </row>
    <row r="126" spans="1:4" x14ac:dyDescent="0.25">
      <c r="A126" t="s">
        <v>151</v>
      </c>
      <c r="B126">
        <f t="shared" si="1"/>
        <v>125</v>
      </c>
      <c r="D126" t="s">
        <v>151</v>
      </c>
    </row>
    <row r="127" spans="1:4" x14ac:dyDescent="0.25">
      <c r="A127" t="s">
        <v>152</v>
      </c>
      <c r="B127">
        <f t="shared" si="1"/>
        <v>126</v>
      </c>
      <c r="D127" t="s">
        <v>152</v>
      </c>
    </row>
    <row r="128" spans="1:4" x14ac:dyDescent="0.25">
      <c r="A128" t="s">
        <v>153</v>
      </c>
      <c r="B128">
        <f t="shared" si="1"/>
        <v>127</v>
      </c>
      <c r="D128" t="s">
        <v>153</v>
      </c>
    </row>
    <row r="129" spans="1:4" x14ac:dyDescent="0.25">
      <c r="A129" t="s">
        <v>154</v>
      </c>
      <c r="B129">
        <f t="shared" si="1"/>
        <v>128</v>
      </c>
      <c r="D129" t="s">
        <v>154</v>
      </c>
    </row>
    <row r="130" spans="1:4" x14ac:dyDescent="0.25">
      <c r="A130" t="s">
        <v>155</v>
      </c>
      <c r="D130" t="s">
        <v>155</v>
      </c>
    </row>
    <row r="131" spans="1:4" x14ac:dyDescent="0.25">
      <c r="A131" t="s">
        <v>156</v>
      </c>
      <c r="D131" t="s">
        <v>156</v>
      </c>
    </row>
    <row r="132" spans="1:4" x14ac:dyDescent="0.25">
      <c r="A132" t="s">
        <v>157</v>
      </c>
      <c r="D132" t="s">
        <v>157</v>
      </c>
    </row>
    <row r="133" spans="1:4" x14ac:dyDescent="0.25">
      <c r="A133" t="s">
        <v>158</v>
      </c>
      <c r="D133" t="s">
        <v>158</v>
      </c>
    </row>
    <row r="134" spans="1:4" x14ac:dyDescent="0.25">
      <c r="A134" t="s">
        <v>159</v>
      </c>
      <c r="D134" t="s">
        <v>159</v>
      </c>
    </row>
    <row r="135" spans="1:4" x14ac:dyDescent="0.25">
      <c r="A135" t="s">
        <v>160</v>
      </c>
      <c r="D135" t="s">
        <v>160</v>
      </c>
    </row>
    <row r="136" spans="1:4" x14ac:dyDescent="0.25">
      <c r="A136" t="s">
        <v>161</v>
      </c>
      <c r="D136" t="s">
        <v>161</v>
      </c>
    </row>
    <row r="137" spans="1:4" x14ac:dyDescent="0.25">
      <c r="A137" t="s">
        <v>162</v>
      </c>
      <c r="D137" t="s">
        <v>162</v>
      </c>
    </row>
    <row r="138" spans="1:4" x14ac:dyDescent="0.25">
      <c r="A138" t="s">
        <v>163</v>
      </c>
      <c r="D138" t="s">
        <v>163</v>
      </c>
    </row>
    <row r="139" spans="1:4" x14ac:dyDescent="0.25">
      <c r="A139" t="s">
        <v>164</v>
      </c>
      <c r="D139" t="s">
        <v>164</v>
      </c>
    </row>
    <row r="140" spans="1:4" x14ac:dyDescent="0.25">
      <c r="A140" t="s">
        <v>165</v>
      </c>
      <c r="D140" t="s">
        <v>165</v>
      </c>
    </row>
    <row r="141" spans="1:4" x14ac:dyDescent="0.25">
      <c r="A141" t="s">
        <v>166</v>
      </c>
      <c r="D141" t="s">
        <v>166</v>
      </c>
    </row>
    <row r="142" spans="1:4" x14ac:dyDescent="0.25">
      <c r="A142" t="s">
        <v>167</v>
      </c>
      <c r="D142" t="s">
        <v>167</v>
      </c>
    </row>
    <row r="143" spans="1:4" x14ac:dyDescent="0.25">
      <c r="A143" t="s">
        <v>168</v>
      </c>
      <c r="D143" t="s">
        <v>168</v>
      </c>
    </row>
    <row r="144" spans="1:4" x14ac:dyDescent="0.25">
      <c r="A144" t="s">
        <v>169</v>
      </c>
      <c r="D144" t="s">
        <v>169</v>
      </c>
    </row>
    <row r="145" spans="1:4" x14ac:dyDescent="0.25">
      <c r="A145" t="s">
        <v>170</v>
      </c>
      <c r="D145" t="s">
        <v>170</v>
      </c>
    </row>
    <row r="146" spans="1:4" x14ac:dyDescent="0.25">
      <c r="A146" t="s">
        <v>171</v>
      </c>
      <c r="D146" t="s">
        <v>171</v>
      </c>
    </row>
    <row r="147" spans="1:4" x14ac:dyDescent="0.25">
      <c r="A147" t="s">
        <v>172</v>
      </c>
      <c r="D147" t="s">
        <v>172</v>
      </c>
    </row>
    <row r="148" spans="1:4" x14ac:dyDescent="0.25">
      <c r="A148" t="s">
        <v>173</v>
      </c>
      <c r="D148" t="s">
        <v>173</v>
      </c>
    </row>
    <row r="149" spans="1:4" x14ac:dyDescent="0.25">
      <c r="A149" t="s">
        <v>174</v>
      </c>
      <c r="D149" t="s">
        <v>174</v>
      </c>
    </row>
    <row r="150" spans="1:4" x14ac:dyDescent="0.25">
      <c r="A150" t="s">
        <v>175</v>
      </c>
      <c r="D150" t="s">
        <v>175</v>
      </c>
    </row>
    <row r="151" spans="1:4" x14ac:dyDescent="0.25">
      <c r="A151" t="s">
        <v>176</v>
      </c>
      <c r="D151" t="s">
        <v>176</v>
      </c>
    </row>
    <row r="152" spans="1:4" x14ac:dyDescent="0.25">
      <c r="A152" t="s">
        <v>177</v>
      </c>
      <c r="D152" t="s">
        <v>177</v>
      </c>
    </row>
    <row r="153" spans="1:4" x14ac:dyDescent="0.25">
      <c r="A153" t="s">
        <v>178</v>
      </c>
      <c r="D153" t="s">
        <v>178</v>
      </c>
    </row>
    <row r="154" spans="1:4" x14ac:dyDescent="0.25">
      <c r="A154" t="s">
        <v>179</v>
      </c>
      <c r="D154" t="s">
        <v>179</v>
      </c>
    </row>
    <row r="155" spans="1:4" x14ac:dyDescent="0.25">
      <c r="A155" t="s">
        <v>180</v>
      </c>
      <c r="D155" t="s">
        <v>180</v>
      </c>
    </row>
    <row r="156" spans="1:4" x14ac:dyDescent="0.25">
      <c r="A156" t="s">
        <v>181</v>
      </c>
      <c r="D156" t="s">
        <v>181</v>
      </c>
    </row>
    <row r="157" spans="1:4" x14ac:dyDescent="0.25">
      <c r="A157" t="s">
        <v>182</v>
      </c>
      <c r="D157" t="s">
        <v>182</v>
      </c>
    </row>
    <row r="158" spans="1:4" x14ac:dyDescent="0.25">
      <c r="A158" t="s">
        <v>183</v>
      </c>
      <c r="D158" t="s">
        <v>183</v>
      </c>
    </row>
    <row r="159" spans="1:4" x14ac:dyDescent="0.25">
      <c r="A159" t="s">
        <v>184</v>
      </c>
      <c r="D159" t="s">
        <v>184</v>
      </c>
    </row>
    <row r="160" spans="1:4" x14ac:dyDescent="0.25">
      <c r="A160" t="s">
        <v>185</v>
      </c>
      <c r="D160" t="s">
        <v>185</v>
      </c>
    </row>
    <row r="161" spans="1:4" x14ac:dyDescent="0.25">
      <c r="A161" t="s">
        <v>186</v>
      </c>
      <c r="D161" t="s">
        <v>186</v>
      </c>
    </row>
    <row r="162" spans="1:4" x14ac:dyDescent="0.25">
      <c r="A162" t="s">
        <v>187</v>
      </c>
      <c r="D162" t="s">
        <v>187</v>
      </c>
    </row>
    <row r="163" spans="1:4" x14ac:dyDescent="0.25">
      <c r="A163" t="s">
        <v>188</v>
      </c>
      <c r="D163" t="s">
        <v>188</v>
      </c>
    </row>
    <row r="164" spans="1:4" x14ac:dyDescent="0.25">
      <c r="A164" t="s">
        <v>189</v>
      </c>
      <c r="D164" t="s">
        <v>189</v>
      </c>
    </row>
    <row r="165" spans="1:4" x14ac:dyDescent="0.25">
      <c r="A165" t="s">
        <v>190</v>
      </c>
      <c r="D165" t="s">
        <v>190</v>
      </c>
    </row>
    <row r="166" spans="1:4" x14ac:dyDescent="0.25">
      <c r="A166" t="s">
        <v>191</v>
      </c>
      <c r="D166" t="s">
        <v>191</v>
      </c>
    </row>
    <row r="167" spans="1:4" x14ac:dyDescent="0.25">
      <c r="A167" t="s">
        <v>192</v>
      </c>
      <c r="D167" t="s">
        <v>192</v>
      </c>
    </row>
    <row r="168" spans="1:4" x14ac:dyDescent="0.25">
      <c r="A168" t="s">
        <v>193</v>
      </c>
      <c r="D168" t="s">
        <v>193</v>
      </c>
    </row>
    <row r="169" spans="1:4" x14ac:dyDescent="0.25">
      <c r="A169" t="s">
        <v>194</v>
      </c>
      <c r="D169" t="s">
        <v>194</v>
      </c>
    </row>
    <row r="170" spans="1:4" x14ac:dyDescent="0.25">
      <c r="A170" t="s">
        <v>195</v>
      </c>
      <c r="D170" t="s">
        <v>195</v>
      </c>
    </row>
    <row r="171" spans="1:4" x14ac:dyDescent="0.25">
      <c r="A171" t="s">
        <v>196</v>
      </c>
      <c r="D171" t="s">
        <v>196</v>
      </c>
    </row>
    <row r="172" spans="1:4" x14ac:dyDescent="0.25">
      <c r="A172" t="s">
        <v>197</v>
      </c>
      <c r="D172" t="s">
        <v>197</v>
      </c>
    </row>
    <row r="173" spans="1:4" x14ac:dyDescent="0.25">
      <c r="A173" t="s">
        <v>198</v>
      </c>
      <c r="D173" t="s">
        <v>198</v>
      </c>
    </row>
    <row r="174" spans="1:4" x14ac:dyDescent="0.25">
      <c r="A174" t="s">
        <v>199</v>
      </c>
      <c r="D174" t="s">
        <v>199</v>
      </c>
    </row>
    <row r="175" spans="1:4" x14ac:dyDescent="0.25">
      <c r="A175" t="s">
        <v>200</v>
      </c>
      <c r="D175" t="s">
        <v>200</v>
      </c>
    </row>
    <row r="176" spans="1:4" x14ac:dyDescent="0.25">
      <c r="A176" t="s">
        <v>201</v>
      </c>
      <c r="D176" t="s">
        <v>201</v>
      </c>
    </row>
    <row r="177" spans="1:4" x14ac:dyDescent="0.25">
      <c r="A177" t="s">
        <v>202</v>
      </c>
      <c r="D177" t="s">
        <v>202</v>
      </c>
    </row>
    <row r="178" spans="1:4" x14ac:dyDescent="0.25">
      <c r="A178" t="s">
        <v>203</v>
      </c>
      <c r="D178" t="s">
        <v>203</v>
      </c>
    </row>
    <row r="179" spans="1:4" x14ac:dyDescent="0.25">
      <c r="A179" t="s">
        <v>204</v>
      </c>
      <c r="D179" t="s">
        <v>204</v>
      </c>
    </row>
    <row r="180" spans="1:4" x14ac:dyDescent="0.25">
      <c r="A180" t="s">
        <v>205</v>
      </c>
      <c r="D180" t="s">
        <v>205</v>
      </c>
    </row>
    <row r="181" spans="1:4" x14ac:dyDescent="0.25">
      <c r="A181" t="s">
        <v>206</v>
      </c>
      <c r="D181" t="s">
        <v>206</v>
      </c>
    </row>
    <row r="182" spans="1:4" x14ac:dyDescent="0.25">
      <c r="A182" t="s">
        <v>207</v>
      </c>
      <c r="D182" t="s">
        <v>207</v>
      </c>
    </row>
    <row r="183" spans="1:4" x14ac:dyDescent="0.25">
      <c r="A183" t="s">
        <v>208</v>
      </c>
      <c r="D183" t="s">
        <v>208</v>
      </c>
    </row>
    <row r="184" spans="1:4" x14ac:dyDescent="0.25">
      <c r="A184" t="s">
        <v>209</v>
      </c>
      <c r="D184" t="s">
        <v>209</v>
      </c>
    </row>
    <row r="185" spans="1:4" x14ac:dyDescent="0.25">
      <c r="A185" t="s">
        <v>210</v>
      </c>
      <c r="D185" t="s">
        <v>210</v>
      </c>
    </row>
    <row r="186" spans="1:4" x14ac:dyDescent="0.25">
      <c r="A186" t="s">
        <v>211</v>
      </c>
      <c r="D186" t="s">
        <v>211</v>
      </c>
    </row>
    <row r="187" spans="1:4" x14ac:dyDescent="0.25">
      <c r="A187" t="s">
        <v>212</v>
      </c>
      <c r="D187" t="s">
        <v>212</v>
      </c>
    </row>
    <row r="188" spans="1:4" x14ac:dyDescent="0.25">
      <c r="A188" t="s">
        <v>213</v>
      </c>
      <c r="D188" t="s">
        <v>213</v>
      </c>
    </row>
    <row r="189" spans="1:4" x14ac:dyDescent="0.25">
      <c r="A189" t="s">
        <v>214</v>
      </c>
      <c r="D189" t="s">
        <v>214</v>
      </c>
    </row>
    <row r="190" spans="1:4" x14ac:dyDescent="0.25">
      <c r="A190" t="s">
        <v>215</v>
      </c>
      <c r="D190" t="s">
        <v>215</v>
      </c>
    </row>
    <row r="191" spans="1:4" x14ac:dyDescent="0.25">
      <c r="A191" t="s">
        <v>216</v>
      </c>
      <c r="D191" t="s">
        <v>216</v>
      </c>
    </row>
    <row r="192" spans="1:4" x14ac:dyDescent="0.25">
      <c r="A192" t="s">
        <v>217</v>
      </c>
      <c r="D192" t="s">
        <v>217</v>
      </c>
    </row>
    <row r="193" spans="1:4" x14ac:dyDescent="0.25">
      <c r="A193" t="s">
        <v>218</v>
      </c>
      <c r="D193" t="s">
        <v>218</v>
      </c>
    </row>
    <row r="194" spans="1:4" x14ac:dyDescent="0.25">
      <c r="A194" t="s">
        <v>219</v>
      </c>
      <c r="D194" t="s">
        <v>219</v>
      </c>
    </row>
    <row r="195" spans="1:4" x14ac:dyDescent="0.25">
      <c r="A195" t="s">
        <v>220</v>
      </c>
      <c r="D195" t="s">
        <v>220</v>
      </c>
    </row>
    <row r="196" spans="1:4" x14ac:dyDescent="0.25">
      <c r="A196" t="s">
        <v>221</v>
      </c>
      <c r="D196" t="s">
        <v>221</v>
      </c>
    </row>
    <row r="197" spans="1:4" x14ac:dyDescent="0.25">
      <c r="A197" t="s">
        <v>222</v>
      </c>
      <c r="D197" t="s">
        <v>222</v>
      </c>
    </row>
    <row r="198" spans="1:4" x14ac:dyDescent="0.25">
      <c r="A198" t="s">
        <v>223</v>
      </c>
      <c r="D198" t="s">
        <v>223</v>
      </c>
    </row>
    <row r="199" spans="1:4" x14ac:dyDescent="0.25">
      <c r="A199" t="s">
        <v>224</v>
      </c>
      <c r="D199" t="s">
        <v>224</v>
      </c>
    </row>
    <row r="200" spans="1:4" x14ac:dyDescent="0.25">
      <c r="A200" t="s">
        <v>225</v>
      </c>
      <c r="D200" t="s">
        <v>225</v>
      </c>
    </row>
    <row r="201" spans="1:4" x14ac:dyDescent="0.25">
      <c r="A201" t="s">
        <v>226</v>
      </c>
      <c r="D201" t="s">
        <v>226</v>
      </c>
    </row>
    <row r="202" spans="1:4" x14ac:dyDescent="0.25">
      <c r="A202" t="s">
        <v>227</v>
      </c>
      <c r="D202" t="s">
        <v>227</v>
      </c>
    </row>
    <row r="203" spans="1:4" x14ac:dyDescent="0.25">
      <c r="A203" t="s">
        <v>228</v>
      </c>
      <c r="D203" t="s">
        <v>228</v>
      </c>
    </row>
    <row r="204" spans="1:4" x14ac:dyDescent="0.25">
      <c r="A204" t="s">
        <v>229</v>
      </c>
      <c r="D204" t="s">
        <v>229</v>
      </c>
    </row>
    <row r="205" spans="1:4" x14ac:dyDescent="0.25">
      <c r="A205" t="s">
        <v>230</v>
      </c>
      <c r="D205" t="s">
        <v>230</v>
      </c>
    </row>
    <row r="206" spans="1:4" x14ac:dyDescent="0.25">
      <c r="A206" t="s">
        <v>231</v>
      </c>
      <c r="D206" t="s">
        <v>231</v>
      </c>
    </row>
    <row r="207" spans="1:4" x14ac:dyDescent="0.25">
      <c r="A207" t="s">
        <v>232</v>
      </c>
      <c r="D207" t="s">
        <v>232</v>
      </c>
    </row>
    <row r="208" spans="1:4" x14ac:dyDescent="0.25">
      <c r="A208" t="s">
        <v>233</v>
      </c>
      <c r="D208" t="s">
        <v>233</v>
      </c>
    </row>
    <row r="209" spans="1:4" x14ac:dyDescent="0.25">
      <c r="A209" t="s">
        <v>234</v>
      </c>
      <c r="D209" t="s">
        <v>234</v>
      </c>
    </row>
    <row r="210" spans="1:4" x14ac:dyDescent="0.25">
      <c r="A210" t="s">
        <v>235</v>
      </c>
      <c r="D210" t="s">
        <v>235</v>
      </c>
    </row>
    <row r="211" spans="1:4" x14ac:dyDescent="0.25">
      <c r="A211" t="s">
        <v>236</v>
      </c>
      <c r="D211" t="s">
        <v>236</v>
      </c>
    </row>
    <row r="212" spans="1:4" x14ac:dyDescent="0.25">
      <c r="A212" t="s">
        <v>237</v>
      </c>
      <c r="D212" t="s">
        <v>237</v>
      </c>
    </row>
    <row r="213" spans="1:4" x14ac:dyDescent="0.25">
      <c r="A213" t="s">
        <v>238</v>
      </c>
      <c r="D213" t="s">
        <v>238</v>
      </c>
    </row>
    <row r="214" spans="1:4" x14ac:dyDescent="0.25">
      <c r="A214" t="s">
        <v>239</v>
      </c>
      <c r="D214" t="s">
        <v>239</v>
      </c>
    </row>
    <row r="215" spans="1:4" x14ac:dyDescent="0.25">
      <c r="A215" t="s">
        <v>240</v>
      </c>
      <c r="D215" t="s">
        <v>240</v>
      </c>
    </row>
    <row r="216" spans="1:4" x14ac:dyDescent="0.25">
      <c r="A216" t="s">
        <v>241</v>
      </c>
      <c r="D216" t="s">
        <v>241</v>
      </c>
    </row>
    <row r="217" spans="1:4" x14ac:dyDescent="0.25">
      <c r="A217" t="s">
        <v>242</v>
      </c>
      <c r="D217" t="s">
        <v>242</v>
      </c>
    </row>
    <row r="218" spans="1:4" x14ac:dyDescent="0.25">
      <c r="A218" t="s">
        <v>243</v>
      </c>
      <c r="D218" t="s">
        <v>243</v>
      </c>
    </row>
    <row r="219" spans="1:4" x14ac:dyDescent="0.25">
      <c r="A219" t="s">
        <v>244</v>
      </c>
      <c r="D219" t="s">
        <v>244</v>
      </c>
    </row>
    <row r="220" spans="1:4" x14ac:dyDescent="0.25">
      <c r="A220" t="s">
        <v>245</v>
      </c>
      <c r="D220" t="s">
        <v>245</v>
      </c>
    </row>
    <row r="221" spans="1:4" x14ac:dyDescent="0.25">
      <c r="A221" t="s">
        <v>246</v>
      </c>
      <c r="D221" t="s">
        <v>246</v>
      </c>
    </row>
    <row r="222" spans="1:4" x14ac:dyDescent="0.25">
      <c r="A222" t="s">
        <v>247</v>
      </c>
      <c r="D222" t="s">
        <v>247</v>
      </c>
    </row>
    <row r="223" spans="1:4" x14ac:dyDescent="0.25">
      <c r="A223" t="s">
        <v>248</v>
      </c>
      <c r="D223" t="s">
        <v>248</v>
      </c>
    </row>
    <row r="224" spans="1:4" x14ac:dyDescent="0.25">
      <c r="A224" t="s">
        <v>249</v>
      </c>
      <c r="D224" t="s">
        <v>249</v>
      </c>
    </row>
    <row r="225" spans="1:4" x14ac:dyDescent="0.25">
      <c r="A225" t="s">
        <v>250</v>
      </c>
      <c r="D225" t="s">
        <v>250</v>
      </c>
    </row>
    <row r="226" spans="1:4" x14ac:dyDescent="0.25">
      <c r="A226" t="s">
        <v>251</v>
      </c>
      <c r="D226" t="s">
        <v>251</v>
      </c>
    </row>
    <row r="227" spans="1:4" x14ac:dyDescent="0.25">
      <c r="A227" t="s">
        <v>252</v>
      </c>
      <c r="D227" t="s">
        <v>252</v>
      </c>
    </row>
    <row r="228" spans="1:4" x14ac:dyDescent="0.25">
      <c r="A228" t="s">
        <v>253</v>
      </c>
      <c r="D228" t="s">
        <v>253</v>
      </c>
    </row>
    <row r="229" spans="1:4" x14ac:dyDescent="0.25">
      <c r="A229" t="s">
        <v>254</v>
      </c>
      <c r="D229" t="s">
        <v>254</v>
      </c>
    </row>
    <row r="230" spans="1:4" x14ac:dyDescent="0.25">
      <c r="A230" t="s">
        <v>255</v>
      </c>
      <c r="D230" t="s">
        <v>255</v>
      </c>
    </row>
    <row r="231" spans="1:4" x14ac:dyDescent="0.25">
      <c r="A231" t="s">
        <v>256</v>
      </c>
      <c r="D231" t="s">
        <v>256</v>
      </c>
    </row>
    <row r="232" spans="1:4" x14ac:dyDescent="0.25">
      <c r="A232" t="s">
        <v>257</v>
      </c>
      <c r="D232" t="s">
        <v>257</v>
      </c>
    </row>
    <row r="233" spans="1:4" x14ac:dyDescent="0.25">
      <c r="A233" t="s">
        <v>258</v>
      </c>
      <c r="D233" t="s">
        <v>258</v>
      </c>
    </row>
    <row r="234" spans="1:4" x14ac:dyDescent="0.25">
      <c r="A234" t="s">
        <v>259</v>
      </c>
      <c r="D234" t="s">
        <v>259</v>
      </c>
    </row>
    <row r="235" spans="1:4" x14ac:dyDescent="0.25">
      <c r="A235" t="s">
        <v>260</v>
      </c>
      <c r="D235" t="s">
        <v>260</v>
      </c>
    </row>
    <row r="236" spans="1:4" x14ac:dyDescent="0.25">
      <c r="A236" t="s">
        <v>261</v>
      </c>
      <c r="D236" t="s">
        <v>261</v>
      </c>
    </row>
    <row r="237" spans="1:4" x14ac:dyDescent="0.25">
      <c r="A237" t="s">
        <v>262</v>
      </c>
      <c r="D237" t="s">
        <v>262</v>
      </c>
    </row>
    <row r="238" spans="1:4" x14ac:dyDescent="0.25">
      <c r="A238" t="s">
        <v>263</v>
      </c>
      <c r="D238" t="s">
        <v>263</v>
      </c>
    </row>
    <row r="239" spans="1:4" x14ac:dyDescent="0.25">
      <c r="A239" t="s">
        <v>264</v>
      </c>
      <c r="D239" t="s">
        <v>264</v>
      </c>
    </row>
    <row r="240" spans="1:4" x14ac:dyDescent="0.25">
      <c r="A240" t="s">
        <v>265</v>
      </c>
      <c r="D240" t="s">
        <v>265</v>
      </c>
    </row>
    <row r="241" spans="4:4" x14ac:dyDescent="0.25">
      <c r="D241" t="s">
        <v>275</v>
      </c>
    </row>
    <row r="242" spans="4:4" x14ac:dyDescent="0.25">
      <c r="D242" t="s">
        <v>276</v>
      </c>
    </row>
    <row r="243" spans="4:4" x14ac:dyDescent="0.25">
      <c r="D243" t="s">
        <v>277</v>
      </c>
    </row>
    <row r="244" spans="4:4" x14ac:dyDescent="0.25">
      <c r="D244" t="s">
        <v>278</v>
      </c>
    </row>
    <row r="245" spans="4:4" x14ac:dyDescent="0.25">
      <c r="D245" t="s">
        <v>279</v>
      </c>
    </row>
    <row r="246" spans="4:4" x14ac:dyDescent="0.25">
      <c r="D246" t="s">
        <v>280</v>
      </c>
    </row>
    <row r="247" spans="4:4" x14ac:dyDescent="0.25">
      <c r="D247" t="s">
        <v>281</v>
      </c>
    </row>
    <row r="248" spans="4:4" x14ac:dyDescent="0.25">
      <c r="D248" t="s">
        <v>282</v>
      </c>
    </row>
    <row r="249" spans="4:4" x14ac:dyDescent="0.25">
      <c r="D249" t="s">
        <v>283</v>
      </c>
    </row>
    <row r="250" spans="4:4" x14ac:dyDescent="0.25">
      <c r="D250" t="s">
        <v>284</v>
      </c>
    </row>
    <row r="251" spans="4:4" x14ac:dyDescent="0.25">
      <c r="D251" t="s">
        <v>285</v>
      </c>
    </row>
    <row r="252" spans="4:4" x14ac:dyDescent="0.25">
      <c r="D252" t="s">
        <v>286</v>
      </c>
    </row>
    <row r="253" spans="4:4" x14ac:dyDescent="0.25">
      <c r="D253" t="s">
        <v>287</v>
      </c>
    </row>
    <row r="254" spans="4:4" x14ac:dyDescent="0.25">
      <c r="D254" t="s">
        <v>288</v>
      </c>
    </row>
    <row r="255" spans="4:4" x14ac:dyDescent="0.25">
      <c r="D255" t="s">
        <v>289</v>
      </c>
    </row>
    <row r="256" spans="4:4" x14ac:dyDescent="0.25">
      <c r="D256" t="s">
        <v>290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A1:D18"/>
  <sheetViews>
    <sheetView topLeftCell="A7" workbookViewId="0">
      <selection activeCell="D2" sqref="D2:D256"/>
    </sheetView>
  </sheetViews>
  <sheetFormatPr defaultRowHeight="15" x14ac:dyDescent="0.25"/>
  <sheetData>
    <row r="1" spans="1:4" x14ac:dyDescent="0.25">
      <c r="A1">
        <v>0</v>
      </c>
      <c r="B1">
        <v>2</v>
      </c>
      <c r="C1">
        <v>8</v>
      </c>
      <c r="D1">
        <v>10</v>
      </c>
    </row>
    <row r="2" spans="1:4" x14ac:dyDescent="0.25">
      <c r="A2">
        <v>1</v>
      </c>
      <c r="B2">
        <v>3</v>
      </c>
      <c r="C2">
        <v>9</v>
      </c>
      <c r="D2">
        <v>11</v>
      </c>
    </row>
    <row r="3" spans="1:4" x14ac:dyDescent="0.25">
      <c r="A3">
        <v>2</v>
      </c>
      <c r="B3">
        <v>4</v>
      </c>
      <c r="C3">
        <v>8</v>
      </c>
      <c r="D3">
        <v>12</v>
      </c>
    </row>
    <row r="4" spans="1:4" x14ac:dyDescent="0.25">
      <c r="A4">
        <v>3</v>
      </c>
      <c r="B4">
        <v>5</v>
      </c>
      <c r="C4">
        <v>9</v>
      </c>
      <c r="D4">
        <v>13</v>
      </c>
    </row>
    <row r="5" spans="1:4" x14ac:dyDescent="0.25">
      <c r="A5">
        <v>4</v>
      </c>
      <c r="B5">
        <v>2</v>
      </c>
      <c r="C5">
        <v>8</v>
      </c>
      <c r="D5">
        <v>14</v>
      </c>
    </row>
    <row r="6" spans="1:4" x14ac:dyDescent="0.25">
      <c r="A6">
        <v>5</v>
      </c>
      <c r="B6">
        <v>3</v>
      </c>
      <c r="C6">
        <v>9</v>
      </c>
      <c r="D6">
        <v>10</v>
      </c>
    </row>
    <row r="7" spans="1:4" x14ac:dyDescent="0.25">
      <c r="A7">
        <v>6</v>
      </c>
      <c r="B7">
        <v>4</v>
      </c>
      <c r="C7">
        <v>8</v>
      </c>
      <c r="D7">
        <v>11</v>
      </c>
    </row>
    <row r="8" spans="1:4" x14ac:dyDescent="0.25">
      <c r="A8">
        <v>7</v>
      </c>
      <c r="B8">
        <v>5</v>
      </c>
      <c r="C8">
        <v>9</v>
      </c>
      <c r="D8">
        <v>12</v>
      </c>
    </row>
    <row r="9" spans="1:4" x14ac:dyDescent="0.25">
      <c r="A9">
        <v>8</v>
      </c>
      <c r="B9">
        <v>2</v>
      </c>
      <c r="C9">
        <v>8</v>
      </c>
      <c r="D9">
        <v>13</v>
      </c>
    </row>
    <row r="10" spans="1:4" x14ac:dyDescent="0.25">
      <c r="A10">
        <v>9</v>
      </c>
      <c r="B10">
        <v>3</v>
      </c>
      <c r="C10">
        <v>9</v>
      </c>
      <c r="D10">
        <v>14</v>
      </c>
    </row>
    <row r="11" spans="1:4" x14ac:dyDescent="0.25">
      <c r="A11">
        <v>10</v>
      </c>
      <c r="B11">
        <v>4</v>
      </c>
      <c r="C11">
        <v>8</v>
      </c>
      <c r="D11">
        <v>10</v>
      </c>
    </row>
    <row r="12" spans="1:4" x14ac:dyDescent="0.25">
      <c r="A12">
        <v>11</v>
      </c>
      <c r="B12">
        <v>5</v>
      </c>
      <c r="C12">
        <v>9</v>
      </c>
      <c r="D12">
        <v>11</v>
      </c>
    </row>
    <row r="13" spans="1:4" x14ac:dyDescent="0.25">
      <c r="A13">
        <v>12</v>
      </c>
      <c r="B13">
        <v>2</v>
      </c>
      <c r="C13">
        <v>8</v>
      </c>
      <c r="D13">
        <v>12</v>
      </c>
    </row>
    <row r="14" spans="1:4" x14ac:dyDescent="0.25">
      <c r="A14">
        <v>13</v>
      </c>
      <c r="B14">
        <v>3</v>
      </c>
      <c r="C14">
        <v>9</v>
      </c>
      <c r="D14">
        <v>13</v>
      </c>
    </row>
    <row r="15" spans="1:4" x14ac:dyDescent="0.25">
      <c r="A15">
        <v>14</v>
      </c>
      <c r="B15">
        <v>4</v>
      </c>
      <c r="C15">
        <v>8</v>
      </c>
      <c r="D15">
        <v>14</v>
      </c>
    </row>
    <row r="16" spans="1:4" x14ac:dyDescent="0.25">
      <c r="A16">
        <v>15</v>
      </c>
      <c r="B16">
        <v>5</v>
      </c>
      <c r="C16">
        <v>9</v>
      </c>
      <c r="D16">
        <v>10</v>
      </c>
    </row>
    <row r="18" spans="2:4" x14ac:dyDescent="0.25">
      <c r="B18" t="s">
        <v>9</v>
      </c>
      <c r="C18" t="s">
        <v>10</v>
      </c>
      <c r="D18"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Example</vt:lpstr>
      <vt:lpstr>Instructions</vt:lpstr>
      <vt:lpstr>Slot_x_Terms</vt:lpstr>
      <vt:lpstr>Chassis</vt:lpstr>
      <vt:lpstr>Switch_128</vt:lpstr>
      <vt:lpstr>Switch_Open</vt:lpstr>
      <vt:lpstr>Switch_FICON</vt:lpstr>
      <vt:lpstr>Switch_base</vt:lpstr>
      <vt:lpstr>Slot 0</vt:lpstr>
      <vt:lpstr>lists</vt:lpstr>
      <vt:lpstr>VC</vt:lpstr>
    </vt:vector>
  </TitlesOfParts>
  <Company>Brocade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jack_consoli@yahoo.com</dc:creator>
  <cp:lastModifiedBy>Jack Consoli</cp:lastModifiedBy>
  <cp:lastPrinted>2026-06-22T11:02:30Z</cp:lastPrinted>
  <dcterms:created xsi:type="dcterms:W3CDTF">2011-04-05T19:54:14Z</dcterms:created>
  <dcterms:modified xsi:type="dcterms:W3CDTF">2026-10-14T12:29:01Z</dcterms:modified>
</cp:coreProperties>
</file>